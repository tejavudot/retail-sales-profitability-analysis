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ADF4C8A6BCA6E/Documents/EXCEL/"/>
    </mc:Choice>
  </mc:AlternateContent>
  <xr:revisionPtr revIDLastSave="0" documentId="14_{AB54A855-8695-412B-90D2-0926D8B80F2B}" xr6:coauthVersionLast="47" xr6:coauthVersionMax="47" xr10:uidLastSave="{00000000-0000-0000-0000-000000000000}"/>
  <bookViews>
    <workbookView xWindow="-110" yWindow="-110" windowWidth="19420" windowHeight="11500" xr2:uid="{A2BBDC0C-6981-4600-B741-F04F6FAD550A}"/>
  </bookViews>
  <sheets>
    <sheet name="tables_product_profit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5" i="1"/>
  <c r="J8" i="1" s="1"/>
  <c r="J2" i="1"/>
  <c r="H5" i="1"/>
  <c r="H6" i="1"/>
  <c r="H12" i="1"/>
  <c r="H13" i="1"/>
  <c r="H14" i="1"/>
  <c r="H21" i="1"/>
  <c r="H22" i="1"/>
  <c r="H29" i="1"/>
  <c r="H30" i="1"/>
  <c r="H37" i="1"/>
  <c r="H38" i="1"/>
  <c r="H45" i="1"/>
  <c r="H46" i="1"/>
  <c r="H52" i="1"/>
  <c r="H53" i="1"/>
  <c r="H54" i="1"/>
  <c r="H61" i="1"/>
  <c r="H62" i="1"/>
  <c r="H69" i="1"/>
  <c r="H70" i="1"/>
  <c r="H76" i="1"/>
  <c r="H77" i="1"/>
  <c r="H78" i="1"/>
  <c r="H85" i="1"/>
  <c r="H86" i="1"/>
  <c r="H93" i="1"/>
  <c r="H94" i="1"/>
  <c r="H101" i="1"/>
  <c r="H102" i="1"/>
  <c r="H109" i="1"/>
  <c r="H110" i="1"/>
  <c r="H116" i="1"/>
  <c r="H117" i="1"/>
  <c r="H118" i="1"/>
  <c r="H125" i="1"/>
  <c r="H126" i="1"/>
  <c r="H133" i="1"/>
  <c r="H134" i="1"/>
  <c r="H140" i="1"/>
  <c r="H141" i="1"/>
  <c r="H142" i="1"/>
  <c r="H149" i="1"/>
  <c r="H150" i="1"/>
  <c r="H157" i="1"/>
  <c r="H158" i="1"/>
  <c r="H165" i="1"/>
  <c r="H166" i="1"/>
  <c r="G3" i="1"/>
  <c r="H3" i="1" s="1"/>
  <c r="G4" i="1"/>
  <c r="H4" i="1" s="1"/>
  <c r="G5" i="1"/>
  <c r="G6" i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G30" i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G38" i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G53" i="1"/>
  <c r="G54" i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G62" i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G70" i="1"/>
  <c r="G71" i="1"/>
  <c r="H71" i="1" s="1"/>
  <c r="G72" i="1"/>
  <c r="H72" i="1" s="1"/>
  <c r="G73" i="1"/>
  <c r="H73" i="1" s="1"/>
  <c r="G74" i="1"/>
  <c r="H74" i="1" s="1"/>
  <c r="G75" i="1"/>
  <c r="H75" i="1" s="1"/>
  <c r="G76" i="1"/>
  <c r="G77" i="1"/>
  <c r="G78" i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G86" i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G94" i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G102" i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G110" i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G117" i="1"/>
  <c r="G118" i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G126" i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G134" i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G141" i="1"/>
  <c r="G142" i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G150" i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G158" i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G166" i="1"/>
  <c r="G167" i="1"/>
  <c r="H167" i="1" s="1"/>
  <c r="G168" i="1"/>
  <c r="H168" i="1" s="1"/>
  <c r="G169" i="1"/>
  <c r="H169" i="1" s="1"/>
  <c r="G170" i="1"/>
  <c r="H170" i="1" s="1"/>
  <c r="G171" i="1"/>
  <c r="H171" i="1" s="1"/>
  <c r="G2" i="1"/>
  <c r="H2" i="1" s="1"/>
</calcChain>
</file>

<file path=xl/sharedStrings.xml><?xml version="1.0" encoding="utf-8"?>
<sst xmlns="http://schemas.openxmlformats.org/spreadsheetml/2006/main" count="690" uniqueCount="352">
  <si>
    <t>product_id</t>
  </si>
  <si>
    <t>product_name</t>
  </si>
  <si>
    <t>category</t>
  </si>
  <si>
    <t>sub_category</t>
  </si>
  <si>
    <t>total_sales</t>
  </si>
  <si>
    <t>total_profits</t>
  </si>
  <si>
    <t>FUR-TA-3429</t>
  </si>
  <si>
    <t>Bevis Round Table, Adjustable Height</t>
  </si>
  <si>
    <t>Furniture</t>
  </si>
  <si>
    <t>Tables</t>
  </si>
  <si>
    <t>FUR-TA-3418</t>
  </si>
  <si>
    <t>Bevis Computer Table, Fully Assembled</t>
  </si>
  <si>
    <t>FUR-TA-3753</t>
  </si>
  <si>
    <t>Chromcraft Bull-Nose Wood Oval Conference Tables &amp; Bases</t>
  </si>
  <si>
    <t>FUR-TA-3442</t>
  </si>
  <si>
    <t>Bevis Wood Table, with Bottom Storage</t>
  </si>
  <si>
    <t>FUR-TA-5069</t>
  </si>
  <si>
    <t>Lesro Training Table, Rectangular</t>
  </si>
  <si>
    <t>FUR-TA-3345</t>
  </si>
  <si>
    <t>Barricks Conference Table, Rectangular</t>
  </si>
  <si>
    <t>FUR-TA-3420</t>
  </si>
  <si>
    <t>Bevis Conference Table, Fully Assembled</t>
  </si>
  <si>
    <t>FUR-TA-5062</t>
  </si>
  <si>
    <t>Lesro Round Table, Adjustable Height</t>
  </si>
  <si>
    <t>FUR-TA-5055</t>
  </si>
  <si>
    <t>Lesro Computer Table, Fully Assembled</t>
  </si>
  <si>
    <t>FUR-TA-3756</t>
  </si>
  <si>
    <t>Chromcraft Coffee Table, Fully Assembled</t>
  </si>
  <si>
    <t>FUR-TA-3619</t>
  </si>
  <si>
    <t>Bush Advantage Collection Racetrack Conference Table</t>
  </si>
  <si>
    <t>FUR-TA-3343</t>
  </si>
  <si>
    <t>Barricks Conference Table, Adjustable Height</t>
  </si>
  <si>
    <t>FUR-TA-4647</t>
  </si>
  <si>
    <t>Hon Conference Table, Rectangular</t>
  </si>
  <si>
    <t>FUR-TA-3348</t>
  </si>
  <si>
    <t>Barricks Round Table, Adjustable Height</t>
  </si>
  <si>
    <t>FUR-TA-3766</t>
  </si>
  <si>
    <t>Chromcraft Conference Table, with Bottom Storage</t>
  </si>
  <si>
    <t>FUR-TA-3346</t>
  </si>
  <si>
    <t>Barricks Conference Table, with Bottom Storage</t>
  </si>
  <si>
    <t>FUR-TA-3770</t>
  </si>
  <si>
    <t>Chromcraft Round Table, Fully Assembled</t>
  </si>
  <si>
    <t>FUR-TA-3351</t>
  </si>
  <si>
    <t>Barricks Round Table, with Bottom Storage</t>
  </si>
  <si>
    <t>FUR-TA-3341</t>
  </si>
  <si>
    <t>Barricks Computer Table, Fully Assembled</t>
  </si>
  <si>
    <t>FUR-TA-4645</t>
  </si>
  <si>
    <t>Hon Conference Table, Adjustable Height</t>
  </si>
  <si>
    <t>FUR-TA-5067</t>
  </si>
  <si>
    <t>Lesro Training Table, Adjustable Height</t>
  </si>
  <si>
    <t>FUR-TA-3338</t>
  </si>
  <si>
    <t>Barricks Coffee Table, Rectangular</t>
  </si>
  <si>
    <t>FUR-TA-4692</t>
  </si>
  <si>
    <t>Hon Round Table, with Bottom Storage</t>
  </si>
  <si>
    <t>FUR-TA-5072</t>
  </si>
  <si>
    <t>Lesro Wood Table, Fully Assembled</t>
  </si>
  <si>
    <t>FUR-TA-3332</t>
  </si>
  <si>
    <t>Balt Solid Wood Round Tables</t>
  </si>
  <si>
    <t>FUR-TA-3769</t>
  </si>
  <si>
    <t>Chromcraft Round Table, Adjustable Height</t>
  </si>
  <si>
    <t>FUR-TA-3556</t>
  </si>
  <si>
    <t>BoxOffice By Design Rectangular and Half-Moon Meeting Room Tables</t>
  </si>
  <si>
    <t>FUR-TA-5683</t>
  </si>
  <si>
    <t>Riverside Furniture Oval Coffee Table, Oval End Table, End Table with Drawer</t>
  </si>
  <si>
    <t>FUR-TA-3775</t>
  </si>
  <si>
    <t>Chromcraft Training Table, Rectangular</t>
  </si>
  <si>
    <t>FUR-TA-3436</t>
  </si>
  <si>
    <t>Bevis Training Table, Fully Assembled</t>
  </si>
  <si>
    <t>FUR-TA-3559</t>
  </si>
  <si>
    <t>Bretford â€œJust In Timeâ€ Height-Adjustable Multi-Task Work Tables</t>
  </si>
  <si>
    <t>FUR-TA-3336</t>
  </si>
  <si>
    <t>Barricks Coffee Table, Adjustable Height</t>
  </si>
  <si>
    <t>FUR-TA-4642</t>
  </si>
  <si>
    <t>Hon Computer Table, Adjustable Height</t>
  </si>
  <si>
    <t>FUR-TA-3765</t>
  </si>
  <si>
    <t>Chromcraft Conference Table, Rectangular</t>
  </si>
  <si>
    <t>FUR-TA-3337</t>
  </si>
  <si>
    <t>Barricks Coffee Table, Fully Assembled</t>
  </si>
  <si>
    <t>FUR-TA-5074</t>
  </si>
  <si>
    <t>Lesro Wood Table, with Bottom Storage</t>
  </si>
  <si>
    <t>FUR-TA-3340</t>
  </si>
  <si>
    <t>Barricks Computer Table, Adjustable Height</t>
  </si>
  <si>
    <t>FUR-TA-3423</t>
  </si>
  <si>
    <t>Bevis Oval Conference Table, Walnut</t>
  </si>
  <si>
    <t>FUR-TA-5068</t>
  </si>
  <si>
    <t>Lesro Training Table, Fully Assembled</t>
  </si>
  <si>
    <t>FUR-TA-4648</t>
  </si>
  <si>
    <t>Hon Conference Table, with Bottom Storage</t>
  </si>
  <si>
    <t>FUR-TA-5052</t>
  </si>
  <si>
    <t>Lesro Coffee Table, Rectangular</t>
  </si>
  <si>
    <t>FUR-TA-3557</t>
  </si>
  <si>
    <t>BPI Conference Tables</t>
  </si>
  <si>
    <t>FUR-TA-4636</t>
  </si>
  <si>
    <t>Hon Coffee Table, with Bottom Storage</t>
  </si>
  <si>
    <t>FUR-TA-5071</t>
  </si>
  <si>
    <t>Lesro Wood Table, Adjustable Height</t>
  </si>
  <si>
    <t>FUR-TA-4625</t>
  </si>
  <si>
    <t>Hon 94000 Series Round Tables</t>
  </si>
  <si>
    <t>FUR-TA-3353</t>
  </si>
  <si>
    <t>Barricks Training Table, Fully Assembled</t>
  </si>
  <si>
    <t>FUR-TA-3355</t>
  </si>
  <si>
    <t>Barricks Training Table, with Bottom Storage</t>
  </si>
  <si>
    <t>FUR-TA-3779</t>
  </si>
  <si>
    <t>Chromcraft Wood Table, Rectangular</t>
  </si>
  <si>
    <t>FUR-TA-5073</t>
  </si>
  <si>
    <t>Lesro Wood Table, Rectangular</t>
  </si>
  <si>
    <t>FUR-TA-3771</t>
  </si>
  <si>
    <t>Chromcraft Round Table, Rectangular</t>
  </si>
  <si>
    <t>FUR-TA-3350</t>
  </si>
  <si>
    <t>Barricks Round Table, Rectangular</t>
  </si>
  <si>
    <t>FUR-TA-3354</t>
  </si>
  <si>
    <t>Barricks Training Table, Rectangular</t>
  </si>
  <si>
    <t>FUR-TA-3752</t>
  </si>
  <si>
    <t>Chromcraft Bull-Nose Wood 48" x 96" Rectangular Conference Tables</t>
  </si>
  <si>
    <t>FUR-TA-4676</t>
  </si>
  <si>
    <t>Hon Racetrack Conference Tables</t>
  </si>
  <si>
    <t>FUR-TA-3424</t>
  </si>
  <si>
    <t>Bevis Rectangular Conference Tables</t>
  </si>
  <si>
    <t>FUR-TA-3776</t>
  </si>
  <si>
    <t>Chromcraft Training Table, with Bottom Storage</t>
  </si>
  <si>
    <t>FUR-TA-3560</t>
  </si>
  <si>
    <t>Bretford CR4500 Series Slim Rectangular Table</t>
  </si>
  <si>
    <t>FUR-TA-5058</t>
  </si>
  <si>
    <t>Lesro Conference Table, Fully Assembled</t>
  </si>
  <si>
    <t>FUR-TA-3428</t>
  </si>
  <si>
    <t>Bevis Round Conference Table Top, X-Base</t>
  </si>
  <si>
    <t>FUR-TA-3438</t>
  </si>
  <si>
    <t>Bevis Training Table, with Bottom Storage</t>
  </si>
  <si>
    <t>FUR-TA-5051</t>
  </si>
  <si>
    <t>Lesro Coffee Table, Fully Assembled</t>
  </si>
  <si>
    <t>FUR-TA-4944</t>
  </si>
  <si>
    <t>KI Conference Tables</t>
  </si>
  <si>
    <t>FUR-TA-3434</t>
  </si>
  <si>
    <t>Bevis Traditional Conference Table Top, Plinth Base</t>
  </si>
  <si>
    <t>FUR-TA-3412</t>
  </si>
  <si>
    <t>Bevis Boat-Shaped Conference Table</t>
  </si>
  <si>
    <t>FUR-TA-3767</t>
  </si>
  <si>
    <t>Chromcraft Rectangular Conference Tables</t>
  </si>
  <si>
    <t>FUR-TA-3413</t>
  </si>
  <si>
    <t>Bevis Coffee Table, Adjustable Height</t>
  </si>
  <si>
    <t>FUR-TA-5684</t>
  </si>
  <si>
    <t>Riverside Furniture Stanwyck Manor Table Series</t>
  </si>
  <si>
    <t>FUR-TA-4690</t>
  </si>
  <si>
    <t>Hon Round Table, Fully Assembled</t>
  </si>
  <si>
    <t>FUR-TA-4635</t>
  </si>
  <si>
    <t>Hon Coffee Table, Fully Assembled</t>
  </si>
  <si>
    <t>FUR-TA-3432</t>
  </si>
  <si>
    <t>Bevis Round Table, with Bottom Storage</t>
  </si>
  <si>
    <t>FUR-TA-4614</t>
  </si>
  <si>
    <t>Hon 2111 Invitation Series Corner Table</t>
  </si>
  <si>
    <t>FUR-TA-3416</t>
  </si>
  <si>
    <t>Bevis Coffee Table, with Bottom Storage</t>
  </si>
  <si>
    <t>FUR-TA-3751</t>
  </si>
  <si>
    <t>Chromcraft 48" x 96" Racetrack Double Pedestal Table</t>
  </si>
  <si>
    <t>FUR-TA-4841</t>
  </si>
  <si>
    <t>Iceberg OfficeWorks 42" Round Tables</t>
  </si>
  <si>
    <t>FUR-TA-3333</t>
  </si>
  <si>
    <t>Balt Split Level Computer Training Table</t>
  </si>
  <si>
    <t>FUR-TA-5061</t>
  </si>
  <si>
    <t>Lesro Round Back Collection Coffee Table, End Table</t>
  </si>
  <si>
    <t>FUR-TA-3758</t>
  </si>
  <si>
    <t>Chromcraft Coffee Table, with Bottom Storage</t>
  </si>
  <si>
    <t>FUR-TA-3780</t>
  </si>
  <si>
    <t>Chromcraft Wood Table, with Bottom Storage</t>
  </si>
  <si>
    <t>FUR-TA-4713</t>
  </si>
  <si>
    <t>Hon Wood Table, with Bottom Storage</t>
  </si>
  <si>
    <t>FUR-TA-4691</t>
  </si>
  <si>
    <t>Hon Round Table, Rectangular</t>
  </si>
  <si>
    <t>FUR-TA-3435</t>
  </si>
  <si>
    <t>Bevis Training Table, Adjustable Height</t>
  </si>
  <si>
    <t>FUR-TA-3562</t>
  </si>
  <si>
    <t>Bretford Rectangular Conference Table Tops</t>
  </si>
  <si>
    <t>FUR-TA-4677</t>
  </si>
  <si>
    <t>Hon Rectangular Conference Tables</t>
  </si>
  <si>
    <t>FUR-TA-3356</t>
  </si>
  <si>
    <t>Barricks Wood Table, Adjustable Height</t>
  </si>
  <si>
    <t>FUR-TA-3757</t>
  </si>
  <si>
    <t>Chromcraft Coffee Table, Rectangular</t>
  </si>
  <si>
    <t>FUR-TA-3441</t>
  </si>
  <si>
    <t>Bevis Wood Table, Rectangular</t>
  </si>
  <si>
    <t>FUR-TA-4622</t>
  </si>
  <si>
    <t>Hon 5100 Series Wood Tables</t>
  </si>
  <si>
    <t>FUR-TA-3331</t>
  </si>
  <si>
    <t>Balt Solid Wood Rectangular Table</t>
  </si>
  <si>
    <t>FUR-TA-3414</t>
  </si>
  <si>
    <t>Bevis Coffee Table, Fully Assembled</t>
  </si>
  <si>
    <t>FUR-TA-4943</t>
  </si>
  <si>
    <t>KI Adjustable-Height Table</t>
  </si>
  <si>
    <t>FUR-TA-5045</t>
  </si>
  <si>
    <t>Laminate Occasional Tables</t>
  </si>
  <si>
    <t>FUR-TA-3425</t>
  </si>
  <si>
    <t>Bevis Round Bullnose 29" High Table Top</t>
  </si>
  <si>
    <t>FUR-TA-4616</t>
  </si>
  <si>
    <t>Hon 30" x 60" Table with Locking Drawer</t>
  </si>
  <si>
    <t>FUR-TA-3440</t>
  </si>
  <si>
    <t>Bevis Wood Table, Fully Assembled</t>
  </si>
  <si>
    <t>FUR-TA-3768</t>
  </si>
  <si>
    <t>Chromcraft Round Conference Tables</t>
  </si>
  <si>
    <t>FUR-TA-3419</t>
  </si>
  <si>
    <t>Bevis Computer Table, with Bottom Storage</t>
  </si>
  <si>
    <t>FUR-TA-3411</t>
  </si>
  <si>
    <t>Bevis 44 x 96 Conference Tables</t>
  </si>
  <si>
    <t>FUR-TA-5063</t>
  </si>
  <si>
    <t>Lesro Round Table, Fully Assembled</t>
  </si>
  <si>
    <t>FUR-TA-3622</t>
  </si>
  <si>
    <t>Bush Andora Conference Table, Maple/Graphite Gray Finish</t>
  </si>
  <si>
    <t>FUR-TA-4624</t>
  </si>
  <si>
    <t>Hon 61000 Series Interactive Training Tables</t>
  </si>
  <si>
    <t>FUR-TA-4615</t>
  </si>
  <si>
    <t>Hon 2111 Invitation Series Straight Table</t>
  </si>
  <si>
    <t>FUR-TA-3417</t>
  </si>
  <si>
    <t>Bevis Computer Table, Adjustable Height</t>
  </si>
  <si>
    <t>FUR-TA-3335</t>
  </si>
  <si>
    <t>Barricks 18" x 48" Non-Folding Utility Table with Bottom Storage Shelf</t>
  </si>
  <si>
    <t>FUR-TA-3773</t>
  </si>
  <si>
    <t>Chromcraft Training Table, Adjustable Height</t>
  </si>
  <si>
    <t>FUR-TA-4707</t>
  </si>
  <si>
    <t>Hon Training Table, Rectangular</t>
  </si>
  <si>
    <t>FUR-TA-4646</t>
  </si>
  <si>
    <t>Hon Conference Table, Fully Assembled</t>
  </si>
  <si>
    <t>FUR-TA-3774</t>
  </si>
  <si>
    <t>Chromcraft Training Table, Fully Assembled</t>
  </si>
  <si>
    <t>FUR-TA-5421</t>
  </si>
  <si>
    <t>Office Impressions End Table, 20-1/2"H x 24"W x 20"D</t>
  </si>
  <si>
    <t>FUR-TA-3415</t>
  </si>
  <si>
    <t>Bevis Coffee Table, Rectangular</t>
  </si>
  <si>
    <t>FUR-TA-3426</t>
  </si>
  <si>
    <t>Bevis Round Conference Room Tables and Bases</t>
  </si>
  <si>
    <t>FUR-TA-5065</t>
  </si>
  <si>
    <t>Lesro Round Table, with Bottom Storage</t>
  </si>
  <si>
    <t>FUR-TA-3117</t>
  </si>
  <si>
    <t>Anderson Hickey Conga Table Tops &amp; Accessories</t>
  </si>
  <si>
    <t>FUR-TA-5070</t>
  </si>
  <si>
    <t>Lesro Training Table, with Bottom Storage</t>
  </si>
  <si>
    <t>FUR-TA-5066</t>
  </si>
  <si>
    <t>Lesro Sheffield Collection Coffee Table, End Table, Center Table, Corner Table</t>
  </si>
  <si>
    <t>FUR-TA-3347</t>
  </si>
  <si>
    <t>Barricks Non-Folding Utility Table with Steel Legs, Laminate Tops</t>
  </si>
  <si>
    <t>FUR-TA-4712</t>
  </si>
  <si>
    <t>Hon Wood Table, Rectangular</t>
  </si>
  <si>
    <t>FUR-TA-5772</t>
  </si>
  <si>
    <t>Safco Drafting Table</t>
  </si>
  <si>
    <t>FUR-TA-3342</t>
  </si>
  <si>
    <t>Barricks Computer Table, with Bottom Storage</t>
  </si>
  <si>
    <t>FUR-TA-5791</t>
  </si>
  <si>
    <t>SAFCO PlanMaster Boards, 60w x 37-1/2d, White Melamine</t>
  </si>
  <si>
    <t>FUR-TA-3755</t>
  </si>
  <si>
    <t>Chromcraft Coffee Table, Adjustable Height</t>
  </si>
  <si>
    <t>FUR-TA-5056</t>
  </si>
  <si>
    <t>Lesro Computer Table, with Bottom Storage</t>
  </si>
  <si>
    <t>FUR-TA-3762</t>
  </si>
  <si>
    <t>Chromcraft Computer Table, with Bottom Storage</t>
  </si>
  <si>
    <t>FUR-TA-3763</t>
  </si>
  <si>
    <t>Chromcraft Conference Table, Adjustable Height</t>
  </si>
  <si>
    <t>FUR-TA-4617</t>
  </si>
  <si>
    <t>Hon 4060 Series Tables</t>
  </si>
  <si>
    <t>FUR-TA-3427</t>
  </si>
  <si>
    <t>Bevis Round Conference Table Top &amp; Single Column Base</t>
  </si>
  <si>
    <t>FUR-TA-4689</t>
  </si>
  <si>
    <t>Hon Round Table, Adjustable Height</t>
  </si>
  <si>
    <t>FUR-TA-3754</t>
  </si>
  <si>
    <t>Chromcraft Bull-Nose Wood Round Conference Table Top, Wood Base</t>
  </si>
  <si>
    <t>FUR-TA-5050</t>
  </si>
  <si>
    <t>Lesro Coffee Table, Adjustable Height</t>
  </si>
  <si>
    <t>FUR-TA-3359</t>
  </si>
  <si>
    <t>Barricks Wood Table, with Bottom Storage</t>
  </si>
  <si>
    <t>FUR-TA-5054</t>
  </si>
  <si>
    <t>Lesro Computer Table, Adjustable Height</t>
  </si>
  <si>
    <t>FUR-TA-3778</t>
  </si>
  <si>
    <t>Chromcraft Wood Table, Fully Assembled</t>
  </si>
  <si>
    <t>FUR-TA-5060</t>
  </si>
  <si>
    <t>Lesro Conference Table, with Bottom Storage</t>
  </si>
  <si>
    <t>FUR-TA-5057</t>
  </si>
  <si>
    <t>Lesro Conference Table, Adjustable Height</t>
  </si>
  <si>
    <t>FUR-TA-3772</t>
  </si>
  <si>
    <t>Chromcraft Round Table, with Bottom Storage</t>
  </si>
  <si>
    <t>FUR-TA-3620</t>
  </si>
  <si>
    <t>Bush Advantage Collection Round Conference Table</t>
  </si>
  <si>
    <t>FUR-TA-4643</t>
  </si>
  <si>
    <t>Hon Computer Table, Fully Assembled</t>
  </si>
  <si>
    <t>FUR-TA-5053</t>
  </si>
  <si>
    <t>Lesro Coffee Table, with Bottom Storage</t>
  </si>
  <si>
    <t>FUR-TA-4708</t>
  </si>
  <si>
    <t>Hon Training Table, with Bottom Storage</t>
  </si>
  <si>
    <t>FUR-TA-3633</t>
  </si>
  <si>
    <t>Bush Cubix Conference Tables, Fully Assembled</t>
  </si>
  <si>
    <t>FUR-TA-3437</t>
  </si>
  <si>
    <t>Bevis Training Table, Rectangular</t>
  </si>
  <si>
    <t>FUR-TA-4710</t>
  </si>
  <si>
    <t>Hon Wood Table, Adjustable Height</t>
  </si>
  <si>
    <t>FUR-TA-3349</t>
  </si>
  <si>
    <t>Barricks Round Table, Fully Assembled</t>
  </si>
  <si>
    <t>FUR-TA-4392</t>
  </si>
  <si>
    <t>Global Adaptabilities Conference Tables</t>
  </si>
  <si>
    <t>FUR-TA-3339</t>
  </si>
  <si>
    <t>Barricks Coffee Table, with Bottom Storage</t>
  </si>
  <si>
    <t>FUR-TA-3760</t>
  </si>
  <si>
    <t>Chromcraft Computer Table, Fully Assembled</t>
  </si>
  <si>
    <t>FUR-TA-3422</t>
  </si>
  <si>
    <t>Bevis Conference Table, with Bottom Storage</t>
  </si>
  <si>
    <t>FUR-TA-3761</t>
  </si>
  <si>
    <t>Chromcraft Computer Table, Rectangular</t>
  </si>
  <si>
    <t>FUR-TA-3357</t>
  </si>
  <si>
    <t>Barricks Wood Table, Fully Assembled</t>
  </si>
  <si>
    <t>FUR-TA-4675</t>
  </si>
  <si>
    <t>Hon Practical Foundations 30 x 60 Training Table, Light Gray/Charcoal</t>
  </si>
  <si>
    <t>FUR-TA-3410</t>
  </si>
  <si>
    <t>Bevis 36 x 72 Conference Tables</t>
  </si>
  <si>
    <t>FUR-TA-4644</t>
  </si>
  <si>
    <t>Hon Computer Table, with Bottom Storage</t>
  </si>
  <si>
    <t>FUR-TA-3561</t>
  </si>
  <si>
    <t>Bretford CR8500 Series Meeting Room Furniture</t>
  </si>
  <si>
    <t>FUR-TA-4671</t>
  </si>
  <si>
    <t>Hon Non-Folding Utility Tables</t>
  </si>
  <si>
    <t>FUR-TA-3439</t>
  </si>
  <si>
    <t>Bevis Wood Table, Adjustable Height</t>
  </si>
  <si>
    <t>FUR-TA-3430</t>
  </si>
  <si>
    <t>Bevis Round Table, Fully Assembled</t>
  </si>
  <si>
    <t>FUR-TA-5064</t>
  </si>
  <si>
    <t>Lesro Round Table, Rectangular</t>
  </si>
  <si>
    <t>FUR-TA-5792</t>
  </si>
  <si>
    <t>SAFCO PlanMaster Heigh-Adjustable Drafting Table Base, 43w x 30d x 30-37h, Black</t>
  </si>
  <si>
    <t>FUR-TA-3358</t>
  </si>
  <si>
    <t>Barricks Wood Table, Rectangular</t>
  </si>
  <si>
    <t>FUR-TA-4634</t>
  </si>
  <si>
    <t>Hon Coffee Table, Adjustable Height</t>
  </si>
  <si>
    <t>FUR-TA-4711</t>
  </si>
  <si>
    <t>Hon Wood Table, Fully Assembled</t>
  </si>
  <si>
    <t>FUR-TA-5059</t>
  </si>
  <si>
    <t>Lesro Conference Table, Rectangular</t>
  </si>
  <si>
    <t>FUR-TA-3777</t>
  </si>
  <si>
    <t>Chromcraft Wood Table, Adjustable Height</t>
  </si>
  <si>
    <t>FUR-TA-3764</t>
  </si>
  <si>
    <t>Chromcraft Conference Table, Fully Assembled</t>
  </si>
  <si>
    <t>FUR-TA-3421</t>
  </si>
  <si>
    <t>Bevis Conference Table, Rectangular</t>
  </si>
  <si>
    <t>FUR-TA-3431</t>
  </si>
  <si>
    <t>Bevis Round Table, Rectangular</t>
  </si>
  <si>
    <t>FUR-TA-4706</t>
  </si>
  <si>
    <t>Hon Training Table, Fully Assembled</t>
  </si>
  <si>
    <t>FUR-TA-3344</t>
  </si>
  <si>
    <t>Barricks Conference Table, Fully Assembled</t>
  </si>
  <si>
    <t>FUR-TA-3352</t>
  </si>
  <si>
    <t>Barricks Training Table, Adjustable Height</t>
  </si>
  <si>
    <t>FUR-TA-4705</t>
  </si>
  <si>
    <t>Hon Training Table, Adjustable Height</t>
  </si>
  <si>
    <t>FUR-TA-3759</t>
  </si>
  <si>
    <t>Chromcraft Computer Table, Adjustable Height</t>
  </si>
  <si>
    <t>profit_margin</t>
  </si>
  <si>
    <t>status</t>
  </si>
  <si>
    <t>negative toal profit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</si>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</sst>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6167-D751-40DD-8EB7-B8248B2F4A00}">
  <dimension ref="A1:J171"/>
  <sheetViews>
    <sheetView tabSelected="1" topLeftCell="B1" workbookViewId="0">
      <selection activeCell="B6" sqref="B6"/>
    </sheetView>
  </sheetViews>
  <sheetFormatPr defaultRowHeight="14.5" x14ac:dyDescent="0.35"/>
  <cols>
    <col min="1" max="1" width="11.453125" bestFit="1" customWidth="1"/>
    <col min="2" max="2" width="68.7265625" bestFit="1" customWidth="1"/>
    <col min="3" max="3" width="8.1796875" bestFit="1" customWidth="1"/>
    <col min="4" max="4" width="11.54296875" bestFit="1" customWidth="1"/>
    <col min="5" max="5" width="10.81640625" bestFit="1" customWidth="1"/>
    <col min="6" max="6" width="10.54296875" bestFit="1" customWidth="1"/>
    <col min="7" max="7" width="11.453125" style="1" bestFit="1" customWidth="1"/>
    <col min="8" max="8" width="9.54296875" bestFit="1" customWidth="1"/>
    <col min="9" max="9" width="1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348</v>
      </c>
      <c r="H1" t="s">
        <v>349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>
        <v>5669.7960000000003</v>
      </c>
      <c r="F2">
        <v>-3633.8939999999998</v>
      </c>
      <c r="G2" s="1">
        <f>(F2/E2)</f>
        <v>-0.64092147230694008</v>
      </c>
      <c r="H2" t="str">
        <f>IF(G2&lt;0,"Loss","Profit")</f>
        <v>Loss</v>
      </c>
      <c r="J2">
        <f>SUM(F2:F11)</f>
        <v>-26830.011599999998</v>
      </c>
    </row>
    <row r="3" spans="1:10" x14ac:dyDescent="0.35">
      <c r="A3" t="s">
        <v>10</v>
      </c>
      <c r="B3" t="s">
        <v>11</v>
      </c>
      <c r="C3" t="s">
        <v>8</v>
      </c>
      <c r="D3" t="s">
        <v>9</v>
      </c>
      <c r="E3">
        <v>11221.896199999999</v>
      </c>
      <c r="F3">
        <v>-3474.5637999999999</v>
      </c>
      <c r="G3" s="1">
        <f t="shared" ref="G3:G66" si="0">(F3/E3)</f>
        <v>-0.30962359106476139</v>
      </c>
      <c r="H3" t="str">
        <f t="shared" ref="H3:H66" si="1">IF(G3&lt;0,"Loss","Profit")</f>
        <v>Loss</v>
      </c>
    </row>
    <row r="4" spans="1:10" x14ac:dyDescent="0.35">
      <c r="A4" t="s">
        <v>12</v>
      </c>
      <c r="B4" t="s">
        <v>13</v>
      </c>
      <c r="C4" t="s">
        <v>8</v>
      </c>
      <c r="D4" t="s">
        <v>9</v>
      </c>
      <c r="E4">
        <v>9930.64</v>
      </c>
      <c r="F4">
        <v>-2860.1156000000001</v>
      </c>
      <c r="G4" s="1">
        <f t="shared" si="0"/>
        <v>-0.2880091917540058</v>
      </c>
      <c r="H4" t="str">
        <f t="shared" si="1"/>
        <v>Loss</v>
      </c>
    </row>
    <row r="5" spans="1:10" x14ac:dyDescent="0.35">
      <c r="A5" t="s">
        <v>14</v>
      </c>
      <c r="B5" t="s">
        <v>15</v>
      </c>
      <c r="C5" t="s">
        <v>8</v>
      </c>
      <c r="D5" t="s">
        <v>9</v>
      </c>
      <c r="E5">
        <v>11164.662</v>
      </c>
      <c r="F5">
        <v>-2750.5880000000002</v>
      </c>
      <c r="G5" s="1">
        <f t="shared" si="0"/>
        <v>-0.24636554156319287</v>
      </c>
      <c r="H5" t="str">
        <f t="shared" si="1"/>
        <v>Loss</v>
      </c>
      <c r="J5">
        <f>SUMIF(F2:F171,"&lt;0")</f>
        <v>-90361.082200000048</v>
      </c>
    </row>
    <row r="6" spans="1:10" x14ac:dyDescent="0.35">
      <c r="A6" t="s">
        <v>16</v>
      </c>
      <c r="B6" t="s">
        <v>17</v>
      </c>
      <c r="C6" t="s">
        <v>8</v>
      </c>
      <c r="D6" t="s">
        <v>9</v>
      </c>
      <c r="E6">
        <v>2730.6466</v>
      </c>
      <c r="F6">
        <v>-2564.2833999999998</v>
      </c>
      <c r="G6" s="1">
        <f t="shared" si="0"/>
        <v>-0.93907552885093215</v>
      </c>
      <c r="H6" t="str">
        <f t="shared" si="1"/>
        <v>Loss</v>
      </c>
    </row>
    <row r="7" spans="1:10" x14ac:dyDescent="0.35">
      <c r="A7" t="s">
        <v>18</v>
      </c>
      <c r="B7" t="s">
        <v>19</v>
      </c>
      <c r="C7" t="s">
        <v>8</v>
      </c>
      <c r="D7" t="s">
        <v>9</v>
      </c>
      <c r="E7">
        <v>3674.8325</v>
      </c>
      <c r="F7">
        <v>-2477.9675000000002</v>
      </c>
      <c r="G7" s="1">
        <f t="shared" si="0"/>
        <v>-0.67430760449625937</v>
      </c>
      <c r="H7" t="str">
        <f t="shared" si="1"/>
        <v>Loss</v>
      </c>
    </row>
    <row r="8" spans="1:10" x14ac:dyDescent="0.35">
      <c r="A8" t="s">
        <v>20</v>
      </c>
      <c r="B8" t="s">
        <v>21</v>
      </c>
      <c r="C8" t="s">
        <v>8</v>
      </c>
      <c r="D8" t="s">
        <v>9</v>
      </c>
      <c r="E8">
        <v>14902.950699999999</v>
      </c>
      <c r="F8">
        <v>-2425.0893000000001</v>
      </c>
      <c r="G8" s="1">
        <f t="shared" si="0"/>
        <v>-0.16272544604203784</v>
      </c>
      <c r="H8" t="str">
        <f t="shared" si="1"/>
        <v>Loss</v>
      </c>
      <c r="J8" s="1">
        <f>J2/J5</f>
        <v>0.29691998974310629</v>
      </c>
    </row>
    <row r="9" spans="1:10" x14ac:dyDescent="0.35">
      <c r="A9" t="s">
        <v>22</v>
      </c>
      <c r="B9" t="s">
        <v>23</v>
      </c>
      <c r="C9" t="s">
        <v>8</v>
      </c>
      <c r="D9" t="s">
        <v>9</v>
      </c>
      <c r="E9">
        <v>3975.6239999999998</v>
      </c>
      <c r="F9">
        <v>-2389.9760000000001</v>
      </c>
      <c r="G9" s="1">
        <f t="shared" si="0"/>
        <v>-0.60115745352176164</v>
      </c>
      <c r="H9" t="str">
        <f t="shared" si="1"/>
        <v>Loss</v>
      </c>
    </row>
    <row r="10" spans="1:10" x14ac:dyDescent="0.35">
      <c r="A10" t="s">
        <v>24</v>
      </c>
      <c r="B10" t="s">
        <v>25</v>
      </c>
      <c r="C10" t="s">
        <v>8</v>
      </c>
      <c r="D10" t="s">
        <v>9</v>
      </c>
      <c r="E10">
        <v>7241.2619999999997</v>
      </c>
      <c r="F10">
        <v>-2304.8380000000002</v>
      </c>
      <c r="G10" s="1">
        <f t="shared" si="0"/>
        <v>-0.31829230871635361</v>
      </c>
      <c r="H10" t="str">
        <f t="shared" si="1"/>
        <v>Loss</v>
      </c>
      <c r="I10" t="s">
        <v>351</v>
      </c>
      <c r="J10">
        <f>COUNT(F2:F171)</f>
        <v>170</v>
      </c>
    </row>
    <row r="11" spans="1:10" x14ac:dyDescent="0.35">
      <c r="A11" t="s">
        <v>26</v>
      </c>
      <c r="B11" t="s">
        <v>27</v>
      </c>
      <c r="C11" t="s">
        <v>8</v>
      </c>
      <c r="D11" t="s">
        <v>9</v>
      </c>
      <c r="E11">
        <v>1236.424</v>
      </c>
      <c r="F11">
        <v>-1948.6959999999999</v>
      </c>
      <c r="G11" s="1">
        <f t="shared" si="0"/>
        <v>-1.576074226964213</v>
      </c>
      <c r="H11" t="str">
        <f t="shared" si="1"/>
        <v>Loss</v>
      </c>
      <c r="I11" t="s">
        <v>350</v>
      </c>
      <c r="J11">
        <f>COUNTIF(F2:F171,"&lt;0")</f>
        <v>112</v>
      </c>
    </row>
    <row r="12" spans="1:10" x14ac:dyDescent="0.35">
      <c r="A12" t="s">
        <v>28</v>
      </c>
      <c r="B12" t="s">
        <v>29</v>
      </c>
      <c r="C12" t="s">
        <v>8</v>
      </c>
      <c r="D12" t="s">
        <v>9</v>
      </c>
      <c r="E12">
        <v>9568.7250000000004</v>
      </c>
      <c r="F12">
        <v>-1915.3976</v>
      </c>
      <c r="G12" s="1">
        <f t="shared" si="0"/>
        <v>-0.20017270848519525</v>
      </c>
      <c r="H12" t="str">
        <f t="shared" si="1"/>
        <v>Loss</v>
      </c>
    </row>
    <row r="13" spans="1:10" x14ac:dyDescent="0.35">
      <c r="A13" t="s">
        <v>30</v>
      </c>
      <c r="B13" t="s">
        <v>31</v>
      </c>
      <c r="C13" t="s">
        <v>8</v>
      </c>
      <c r="D13" t="s">
        <v>9</v>
      </c>
      <c r="E13">
        <v>6441.5079999999998</v>
      </c>
      <c r="F13">
        <v>-1912.8520000000001</v>
      </c>
      <c r="G13" s="1">
        <f t="shared" si="0"/>
        <v>-0.29695717214043671</v>
      </c>
      <c r="H13" t="str">
        <f t="shared" si="1"/>
        <v>Loss</v>
      </c>
    </row>
    <row r="14" spans="1:10" x14ac:dyDescent="0.35">
      <c r="A14" t="s">
        <v>32</v>
      </c>
      <c r="B14" t="s">
        <v>33</v>
      </c>
      <c r="C14" t="s">
        <v>8</v>
      </c>
      <c r="D14" t="s">
        <v>9</v>
      </c>
      <c r="E14">
        <v>7605.2894999999999</v>
      </c>
      <c r="F14">
        <v>-1902.8505</v>
      </c>
      <c r="G14" s="1">
        <f t="shared" si="0"/>
        <v>-0.25020092923484372</v>
      </c>
      <c r="H14" t="str">
        <f t="shared" si="1"/>
        <v>Loss</v>
      </c>
    </row>
    <row r="15" spans="1:10" x14ac:dyDescent="0.35">
      <c r="A15" t="s">
        <v>34</v>
      </c>
      <c r="B15" t="s">
        <v>35</v>
      </c>
      <c r="C15" t="s">
        <v>8</v>
      </c>
      <c r="D15" t="s">
        <v>9</v>
      </c>
      <c r="E15">
        <v>3238.0749999999998</v>
      </c>
      <c r="F15">
        <v>-1865.675</v>
      </c>
      <c r="G15" s="1">
        <f t="shared" si="0"/>
        <v>-0.57616793928491472</v>
      </c>
      <c r="H15" t="str">
        <f t="shared" si="1"/>
        <v>Loss</v>
      </c>
    </row>
    <row r="16" spans="1:10" x14ac:dyDescent="0.35">
      <c r="A16" t="s">
        <v>36</v>
      </c>
      <c r="B16" t="s">
        <v>37</v>
      </c>
      <c r="C16" t="s">
        <v>8</v>
      </c>
      <c r="D16" t="s">
        <v>9</v>
      </c>
      <c r="E16">
        <v>13733.919</v>
      </c>
      <c r="F16">
        <v>-1828.3309999999999</v>
      </c>
      <c r="G16" s="1">
        <f t="shared" si="0"/>
        <v>-0.13312522084919826</v>
      </c>
      <c r="H16" t="str">
        <f t="shared" si="1"/>
        <v>Loss</v>
      </c>
    </row>
    <row r="17" spans="1:8" x14ac:dyDescent="0.35">
      <c r="A17" t="s">
        <v>38</v>
      </c>
      <c r="B17" t="s">
        <v>39</v>
      </c>
      <c r="C17" t="s">
        <v>8</v>
      </c>
      <c r="D17" t="s">
        <v>9</v>
      </c>
      <c r="E17">
        <v>6519.74</v>
      </c>
      <c r="F17">
        <v>-1821.37</v>
      </c>
      <c r="G17" s="1">
        <f t="shared" si="0"/>
        <v>-0.27936236721096241</v>
      </c>
      <c r="H17" t="str">
        <f t="shared" si="1"/>
        <v>Loss</v>
      </c>
    </row>
    <row r="18" spans="1:8" x14ac:dyDescent="0.35">
      <c r="A18" t="s">
        <v>40</v>
      </c>
      <c r="B18" t="s">
        <v>41</v>
      </c>
      <c r="C18" t="s">
        <v>8</v>
      </c>
      <c r="D18" t="s">
        <v>9</v>
      </c>
      <c r="E18">
        <v>3586.7510000000002</v>
      </c>
      <c r="F18">
        <v>-1813.079</v>
      </c>
      <c r="G18" s="1">
        <f t="shared" si="0"/>
        <v>-0.50549341172554207</v>
      </c>
      <c r="H18" t="str">
        <f t="shared" si="1"/>
        <v>Loss</v>
      </c>
    </row>
    <row r="19" spans="1:8" x14ac:dyDescent="0.35">
      <c r="A19" t="s">
        <v>42</v>
      </c>
      <c r="B19" t="s">
        <v>43</v>
      </c>
      <c r="C19" t="s">
        <v>8</v>
      </c>
      <c r="D19" t="s">
        <v>9</v>
      </c>
      <c r="E19">
        <v>3641.9475000000002</v>
      </c>
      <c r="F19">
        <v>-1708.3325</v>
      </c>
      <c r="G19" s="1">
        <f t="shared" si="0"/>
        <v>-0.46907114943309858</v>
      </c>
      <c r="H19" t="str">
        <f t="shared" si="1"/>
        <v>Loss</v>
      </c>
    </row>
    <row r="20" spans="1:8" x14ac:dyDescent="0.35">
      <c r="A20" t="s">
        <v>44</v>
      </c>
      <c r="B20" t="s">
        <v>45</v>
      </c>
      <c r="C20" t="s">
        <v>8</v>
      </c>
      <c r="D20" t="s">
        <v>9</v>
      </c>
      <c r="E20">
        <v>10642.2178</v>
      </c>
      <c r="F20">
        <v>-1554.2722000000001</v>
      </c>
      <c r="G20" s="1">
        <f t="shared" si="0"/>
        <v>-0.14604777211005773</v>
      </c>
      <c r="H20" t="str">
        <f t="shared" si="1"/>
        <v>Loss</v>
      </c>
    </row>
    <row r="21" spans="1:8" x14ac:dyDescent="0.35">
      <c r="A21" t="s">
        <v>46</v>
      </c>
      <c r="B21" t="s">
        <v>47</v>
      </c>
      <c r="C21" t="s">
        <v>8</v>
      </c>
      <c r="D21" t="s">
        <v>9</v>
      </c>
      <c r="E21">
        <v>15053.8742</v>
      </c>
      <c r="F21">
        <v>-1548.5658000000001</v>
      </c>
      <c r="G21" s="1">
        <f t="shared" si="0"/>
        <v>-0.10286825699659427</v>
      </c>
      <c r="H21" t="str">
        <f t="shared" si="1"/>
        <v>Loss</v>
      </c>
    </row>
    <row r="22" spans="1:8" x14ac:dyDescent="0.35">
      <c r="A22" t="s">
        <v>48</v>
      </c>
      <c r="B22" t="s">
        <v>49</v>
      </c>
      <c r="C22" t="s">
        <v>8</v>
      </c>
      <c r="D22" t="s">
        <v>9</v>
      </c>
      <c r="E22">
        <v>4243.8307999999997</v>
      </c>
      <c r="F22">
        <v>-1431.9792</v>
      </c>
      <c r="G22" s="1">
        <f t="shared" si="0"/>
        <v>-0.33742608211430108</v>
      </c>
      <c r="H22" t="str">
        <f t="shared" si="1"/>
        <v>Loss</v>
      </c>
    </row>
    <row r="23" spans="1:8" x14ac:dyDescent="0.35">
      <c r="A23" t="s">
        <v>50</v>
      </c>
      <c r="B23" t="s">
        <v>51</v>
      </c>
      <c r="C23" t="s">
        <v>8</v>
      </c>
      <c r="D23" t="s">
        <v>9</v>
      </c>
      <c r="E23">
        <v>3154.2350000000001</v>
      </c>
      <c r="F23">
        <v>-1417.875</v>
      </c>
      <c r="G23" s="1">
        <f t="shared" si="0"/>
        <v>-0.44951470007783184</v>
      </c>
      <c r="H23" t="str">
        <f t="shared" si="1"/>
        <v>Loss</v>
      </c>
    </row>
    <row r="24" spans="1:8" x14ac:dyDescent="0.35">
      <c r="A24" t="s">
        <v>52</v>
      </c>
      <c r="B24" t="s">
        <v>53</v>
      </c>
      <c r="C24" t="s">
        <v>8</v>
      </c>
      <c r="D24" t="s">
        <v>9</v>
      </c>
      <c r="E24">
        <v>6376.89</v>
      </c>
      <c r="F24">
        <v>-1308.6500000000001</v>
      </c>
      <c r="G24" s="1">
        <f t="shared" si="0"/>
        <v>-0.20521759039280904</v>
      </c>
      <c r="H24" t="str">
        <f t="shared" si="1"/>
        <v>Loss</v>
      </c>
    </row>
    <row r="25" spans="1:8" x14ac:dyDescent="0.35">
      <c r="A25" t="s">
        <v>54</v>
      </c>
      <c r="B25" t="s">
        <v>55</v>
      </c>
      <c r="C25" t="s">
        <v>8</v>
      </c>
      <c r="D25" t="s">
        <v>9</v>
      </c>
      <c r="E25">
        <v>5575.4650000000001</v>
      </c>
      <c r="F25">
        <v>-1282.145</v>
      </c>
      <c r="G25" s="1">
        <f t="shared" si="0"/>
        <v>-0.22996198523351863</v>
      </c>
      <c r="H25" t="str">
        <f t="shared" si="1"/>
        <v>Loss</v>
      </c>
    </row>
    <row r="26" spans="1:8" x14ac:dyDescent="0.35">
      <c r="A26" t="s">
        <v>56</v>
      </c>
      <c r="B26" t="s">
        <v>57</v>
      </c>
      <c r="C26" t="s">
        <v>8</v>
      </c>
      <c r="D26" t="s">
        <v>9</v>
      </c>
      <c r="E26">
        <v>6526.7539999999999</v>
      </c>
      <c r="F26">
        <v>-1187.0581</v>
      </c>
      <c r="G26" s="1">
        <f t="shared" si="0"/>
        <v>-0.18187572260269039</v>
      </c>
      <c r="H26" t="str">
        <f t="shared" si="1"/>
        <v>Loss</v>
      </c>
    </row>
    <row r="27" spans="1:8" x14ac:dyDescent="0.35">
      <c r="A27" t="s">
        <v>58</v>
      </c>
      <c r="B27" t="s">
        <v>59</v>
      </c>
      <c r="C27" t="s">
        <v>8</v>
      </c>
      <c r="D27" t="s">
        <v>9</v>
      </c>
      <c r="E27">
        <v>8341.6901999999991</v>
      </c>
      <c r="F27">
        <v>-1184.0498</v>
      </c>
      <c r="G27" s="1">
        <f t="shared" si="0"/>
        <v>-0.14194363151966494</v>
      </c>
      <c r="H27" t="str">
        <f t="shared" si="1"/>
        <v>Loss</v>
      </c>
    </row>
    <row r="28" spans="1:8" x14ac:dyDescent="0.35">
      <c r="A28" t="s">
        <v>60</v>
      </c>
      <c r="B28" t="s">
        <v>61</v>
      </c>
      <c r="C28" t="s">
        <v>8</v>
      </c>
      <c r="D28" t="s">
        <v>9</v>
      </c>
      <c r="E28">
        <v>1720.25</v>
      </c>
      <c r="F28">
        <v>-1138.4375</v>
      </c>
      <c r="G28" s="1">
        <f t="shared" si="0"/>
        <v>-0.6617860776049993</v>
      </c>
      <c r="H28" t="str">
        <f t="shared" si="1"/>
        <v>Loss</v>
      </c>
    </row>
    <row r="29" spans="1:8" x14ac:dyDescent="0.35">
      <c r="A29" t="s">
        <v>62</v>
      </c>
      <c r="B29" t="s">
        <v>63</v>
      </c>
      <c r="C29" t="s">
        <v>8</v>
      </c>
      <c r="D29" t="s">
        <v>9</v>
      </c>
      <c r="E29">
        <v>4458.1750000000002</v>
      </c>
      <c r="F29">
        <v>-1132.4000000000001</v>
      </c>
      <c r="G29" s="1">
        <f t="shared" si="0"/>
        <v>-0.25400528243059101</v>
      </c>
      <c r="H29" t="str">
        <f t="shared" si="1"/>
        <v>Loss</v>
      </c>
    </row>
    <row r="30" spans="1:8" x14ac:dyDescent="0.35">
      <c r="A30" t="s">
        <v>64</v>
      </c>
      <c r="B30" t="s">
        <v>65</v>
      </c>
      <c r="C30" t="s">
        <v>8</v>
      </c>
      <c r="D30" t="s">
        <v>9</v>
      </c>
      <c r="E30">
        <v>2150.9106000000002</v>
      </c>
      <c r="F30">
        <v>-1099.2094</v>
      </c>
      <c r="G30" s="1">
        <f t="shared" si="0"/>
        <v>-0.51104374119500828</v>
      </c>
      <c r="H30" t="str">
        <f t="shared" si="1"/>
        <v>Loss</v>
      </c>
    </row>
    <row r="31" spans="1:8" x14ac:dyDescent="0.35">
      <c r="A31" t="s">
        <v>66</v>
      </c>
      <c r="B31" t="s">
        <v>67</v>
      </c>
      <c r="C31" t="s">
        <v>8</v>
      </c>
      <c r="D31" t="s">
        <v>9</v>
      </c>
      <c r="E31">
        <v>2982.6104999999998</v>
      </c>
      <c r="F31">
        <v>-979.5095</v>
      </c>
      <c r="G31" s="1">
        <f t="shared" si="0"/>
        <v>-0.32840677654692091</v>
      </c>
      <c r="H31" t="str">
        <f t="shared" si="1"/>
        <v>Loss</v>
      </c>
    </row>
    <row r="32" spans="1:8" x14ac:dyDescent="0.35">
      <c r="A32" t="s">
        <v>68</v>
      </c>
      <c r="B32" t="s">
        <v>69</v>
      </c>
      <c r="C32" t="s">
        <v>8</v>
      </c>
      <c r="D32" t="s">
        <v>9</v>
      </c>
      <c r="E32">
        <v>5646.9</v>
      </c>
      <c r="F32">
        <v>-957.19399999999996</v>
      </c>
      <c r="G32" s="1">
        <f t="shared" si="0"/>
        <v>-0.16950787157555472</v>
      </c>
      <c r="H32" t="str">
        <f t="shared" si="1"/>
        <v>Loss</v>
      </c>
    </row>
    <row r="33" spans="1:8" x14ac:dyDescent="0.35">
      <c r="A33" t="s">
        <v>70</v>
      </c>
      <c r="B33" t="s">
        <v>71</v>
      </c>
      <c r="C33" t="s">
        <v>8</v>
      </c>
      <c r="D33" t="s">
        <v>9</v>
      </c>
      <c r="E33">
        <v>6013.6315000000004</v>
      </c>
      <c r="F33">
        <v>-951.69849999999997</v>
      </c>
      <c r="G33" s="1">
        <f t="shared" si="0"/>
        <v>-0.1582568702455413</v>
      </c>
      <c r="H33" t="str">
        <f t="shared" si="1"/>
        <v>Loss</v>
      </c>
    </row>
    <row r="34" spans="1:8" x14ac:dyDescent="0.35">
      <c r="A34" t="s">
        <v>72</v>
      </c>
      <c r="B34" t="s">
        <v>73</v>
      </c>
      <c r="C34" t="s">
        <v>8</v>
      </c>
      <c r="D34" t="s">
        <v>9</v>
      </c>
      <c r="E34">
        <v>3759.0464999999999</v>
      </c>
      <c r="F34">
        <v>-897.17349999999999</v>
      </c>
      <c r="G34" s="1">
        <f t="shared" si="0"/>
        <v>-0.23867049795739426</v>
      </c>
      <c r="H34" t="str">
        <f t="shared" si="1"/>
        <v>Loss</v>
      </c>
    </row>
    <row r="35" spans="1:8" x14ac:dyDescent="0.35">
      <c r="A35" t="s">
        <v>74</v>
      </c>
      <c r="B35" t="s">
        <v>75</v>
      </c>
      <c r="C35" t="s">
        <v>8</v>
      </c>
      <c r="D35" t="s">
        <v>9</v>
      </c>
      <c r="E35">
        <v>10230.816000000001</v>
      </c>
      <c r="F35">
        <v>-883.94399999999996</v>
      </c>
      <c r="G35" s="1">
        <f t="shared" si="0"/>
        <v>-8.6400146381285708E-2</v>
      </c>
      <c r="H35" t="str">
        <f t="shared" si="1"/>
        <v>Loss</v>
      </c>
    </row>
    <row r="36" spans="1:8" x14ac:dyDescent="0.35">
      <c r="A36" t="s">
        <v>76</v>
      </c>
      <c r="B36" t="s">
        <v>77</v>
      </c>
      <c r="C36" t="s">
        <v>8</v>
      </c>
      <c r="D36" t="s">
        <v>9</v>
      </c>
      <c r="E36">
        <v>3208.2741000000001</v>
      </c>
      <c r="F36">
        <v>-869.07590000000005</v>
      </c>
      <c r="G36" s="1">
        <f t="shared" si="0"/>
        <v>-0.27088580118512939</v>
      </c>
      <c r="H36" t="str">
        <f t="shared" si="1"/>
        <v>Loss</v>
      </c>
    </row>
    <row r="37" spans="1:8" x14ac:dyDescent="0.35">
      <c r="A37" t="s">
        <v>78</v>
      </c>
      <c r="B37" t="s">
        <v>79</v>
      </c>
      <c r="C37" t="s">
        <v>8</v>
      </c>
      <c r="D37" t="s">
        <v>9</v>
      </c>
      <c r="E37">
        <v>2400.2415999999998</v>
      </c>
      <c r="F37">
        <v>-868.76840000000004</v>
      </c>
      <c r="G37" s="1">
        <f t="shared" si="0"/>
        <v>-0.36195039699336939</v>
      </c>
      <c r="H37" t="str">
        <f t="shared" si="1"/>
        <v>Loss</v>
      </c>
    </row>
    <row r="38" spans="1:8" x14ac:dyDescent="0.35">
      <c r="A38" t="s">
        <v>80</v>
      </c>
      <c r="B38" t="s">
        <v>81</v>
      </c>
      <c r="C38" t="s">
        <v>8</v>
      </c>
      <c r="D38" t="s">
        <v>9</v>
      </c>
      <c r="E38">
        <v>3107.0884999999998</v>
      </c>
      <c r="F38">
        <v>-860.57150000000001</v>
      </c>
      <c r="G38" s="1">
        <f t="shared" si="0"/>
        <v>-0.2769703856198496</v>
      </c>
      <c r="H38" t="str">
        <f t="shared" si="1"/>
        <v>Loss</v>
      </c>
    </row>
    <row r="39" spans="1:8" x14ac:dyDescent="0.35">
      <c r="A39" t="s">
        <v>82</v>
      </c>
      <c r="B39" t="s">
        <v>83</v>
      </c>
      <c r="C39" t="s">
        <v>8</v>
      </c>
      <c r="D39" t="s">
        <v>9</v>
      </c>
      <c r="E39">
        <v>6962.0680000000002</v>
      </c>
      <c r="F39">
        <v>-828.01440000000002</v>
      </c>
      <c r="G39" s="1">
        <f t="shared" si="0"/>
        <v>-0.1189322482917432</v>
      </c>
      <c r="H39" t="str">
        <f t="shared" si="1"/>
        <v>Loss</v>
      </c>
    </row>
    <row r="40" spans="1:8" x14ac:dyDescent="0.35">
      <c r="A40" t="s">
        <v>84</v>
      </c>
      <c r="B40" t="s">
        <v>85</v>
      </c>
      <c r="C40" t="s">
        <v>8</v>
      </c>
      <c r="D40" t="s">
        <v>9</v>
      </c>
      <c r="E40">
        <v>3500.7802999999999</v>
      </c>
      <c r="F40">
        <v>-824.54970000000003</v>
      </c>
      <c r="G40" s="1">
        <f t="shared" si="0"/>
        <v>-0.23553311814511754</v>
      </c>
      <c r="H40" t="str">
        <f t="shared" si="1"/>
        <v>Loss</v>
      </c>
    </row>
    <row r="41" spans="1:8" x14ac:dyDescent="0.35">
      <c r="A41" t="s">
        <v>86</v>
      </c>
      <c r="B41" t="s">
        <v>87</v>
      </c>
      <c r="C41" t="s">
        <v>8</v>
      </c>
      <c r="D41" t="s">
        <v>9</v>
      </c>
      <c r="E41">
        <v>1754.8119999999999</v>
      </c>
      <c r="F41">
        <v>-809.14800000000002</v>
      </c>
      <c r="G41" s="1">
        <f t="shared" si="0"/>
        <v>-0.4611023858966089</v>
      </c>
      <c r="H41" t="str">
        <f t="shared" si="1"/>
        <v>Loss</v>
      </c>
    </row>
    <row r="42" spans="1:8" x14ac:dyDescent="0.35">
      <c r="A42" t="s">
        <v>88</v>
      </c>
      <c r="B42" t="s">
        <v>89</v>
      </c>
      <c r="C42" t="s">
        <v>8</v>
      </c>
      <c r="D42" t="s">
        <v>9</v>
      </c>
      <c r="E42">
        <v>1490.463</v>
      </c>
      <c r="F42">
        <v>-785.67700000000002</v>
      </c>
      <c r="G42" s="1">
        <f t="shared" si="0"/>
        <v>-0.52713619861747663</v>
      </c>
      <c r="H42" t="str">
        <f t="shared" si="1"/>
        <v>Loss</v>
      </c>
    </row>
    <row r="43" spans="1:8" x14ac:dyDescent="0.35">
      <c r="A43" t="s">
        <v>90</v>
      </c>
      <c r="B43" t="s">
        <v>91</v>
      </c>
      <c r="C43" t="s">
        <v>8</v>
      </c>
      <c r="D43" t="s">
        <v>9</v>
      </c>
      <c r="E43">
        <v>2254.8674999999998</v>
      </c>
      <c r="F43">
        <v>-782.97249999999997</v>
      </c>
      <c r="G43" s="1">
        <f t="shared" si="0"/>
        <v>-0.34723658928961459</v>
      </c>
      <c r="H43" t="str">
        <f t="shared" si="1"/>
        <v>Loss</v>
      </c>
    </row>
    <row r="44" spans="1:8" x14ac:dyDescent="0.35">
      <c r="A44" t="s">
        <v>92</v>
      </c>
      <c r="B44" t="s">
        <v>93</v>
      </c>
      <c r="C44" t="s">
        <v>8</v>
      </c>
      <c r="D44" t="s">
        <v>9</v>
      </c>
      <c r="E44">
        <v>3769.415</v>
      </c>
      <c r="F44">
        <v>-755.83500000000004</v>
      </c>
      <c r="G44" s="1">
        <f t="shared" si="0"/>
        <v>-0.20051785223967114</v>
      </c>
      <c r="H44" t="str">
        <f t="shared" si="1"/>
        <v>Loss</v>
      </c>
    </row>
    <row r="45" spans="1:8" x14ac:dyDescent="0.35">
      <c r="A45" t="s">
        <v>94</v>
      </c>
      <c r="B45" t="s">
        <v>95</v>
      </c>
      <c r="C45" t="s">
        <v>8</v>
      </c>
      <c r="D45" t="s">
        <v>9</v>
      </c>
      <c r="E45">
        <v>6494.7560000000003</v>
      </c>
      <c r="F45">
        <v>-695.04399999999998</v>
      </c>
      <c r="G45" s="1">
        <f t="shared" si="0"/>
        <v>-0.10701618351790275</v>
      </c>
      <c r="H45" t="str">
        <f t="shared" si="1"/>
        <v>Loss</v>
      </c>
    </row>
    <row r="46" spans="1:8" x14ac:dyDescent="0.35">
      <c r="A46" t="s">
        <v>96</v>
      </c>
      <c r="B46" t="s">
        <v>97</v>
      </c>
      <c r="C46" t="s">
        <v>8</v>
      </c>
      <c r="D46" t="s">
        <v>9</v>
      </c>
      <c r="E46">
        <v>7416.5</v>
      </c>
      <c r="F46">
        <v>-669.21400000000006</v>
      </c>
      <c r="G46" s="1">
        <f t="shared" si="0"/>
        <v>-9.023312883435583E-2</v>
      </c>
      <c r="H46" t="str">
        <f t="shared" si="1"/>
        <v>Loss</v>
      </c>
    </row>
    <row r="47" spans="1:8" x14ac:dyDescent="0.35">
      <c r="A47" t="s">
        <v>98</v>
      </c>
      <c r="B47" t="s">
        <v>99</v>
      </c>
      <c r="C47" t="s">
        <v>8</v>
      </c>
      <c r="D47" t="s">
        <v>9</v>
      </c>
      <c r="E47">
        <v>3292.9834999999998</v>
      </c>
      <c r="F47">
        <v>-657.22649999999999</v>
      </c>
      <c r="G47" s="1">
        <f t="shared" si="0"/>
        <v>-0.19958390316866151</v>
      </c>
      <c r="H47" t="str">
        <f t="shared" si="1"/>
        <v>Loss</v>
      </c>
    </row>
    <row r="48" spans="1:8" x14ac:dyDescent="0.35">
      <c r="A48" t="s">
        <v>100</v>
      </c>
      <c r="B48" t="s">
        <v>101</v>
      </c>
      <c r="C48" t="s">
        <v>8</v>
      </c>
      <c r="D48" t="s">
        <v>9</v>
      </c>
      <c r="E48">
        <v>2331.163</v>
      </c>
      <c r="F48">
        <v>-653.71699999999998</v>
      </c>
      <c r="G48" s="1">
        <f t="shared" si="0"/>
        <v>-0.28042526412781943</v>
      </c>
      <c r="H48" t="str">
        <f t="shared" si="1"/>
        <v>Loss</v>
      </c>
    </row>
    <row r="49" spans="1:8" x14ac:dyDescent="0.35">
      <c r="A49" t="s">
        <v>102</v>
      </c>
      <c r="B49" t="s">
        <v>103</v>
      </c>
      <c r="C49" t="s">
        <v>8</v>
      </c>
      <c r="D49" t="s">
        <v>9</v>
      </c>
      <c r="E49">
        <v>4734.0856000000003</v>
      </c>
      <c r="F49">
        <v>-651.75440000000003</v>
      </c>
      <c r="G49" s="1">
        <f t="shared" si="0"/>
        <v>-0.13767271128346306</v>
      </c>
      <c r="H49" t="str">
        <f t="shared" si="1"/>
        <v>Loss</v>
      </c>
    </row>
    <row r="50" spans="1:8" x14ac:dyDescent="0.35">
      <c r="A50" t="s">
        <v>104</v>
      </c>
      <c r="B50" t="s">
        <v>105</v>
      </c>
      <c r="C50" t="s">
        <v>8</v>
      </c>
      <c r="D50" t="s">
        <v>9</v>
      </c>
      <c r="E50">
        <v>3882.25</v>
      </c>
      <c r="F50">
        <v>-651.5</v>
      </c>
      <c r="G50" s="1">
        <f t="shared" si="0"/>
        <v>-0.16781505570223454</v>
      </c>
      <c r="H50" t="str">
        <f t="shared" si="1"/>
        <v>Loss</v>
      </c>
    </row>
    <row r="51" spans="1:8" x14ac:dyDescent="0.35">
      <c r="A51" t="s">
        <v>106</v>
      </c>
      <c r="B51" t="s">
        <v>107</v>
      </c>
      <c r="C51" t="s">
        <v>8</v>
      </c>
      <c r="D51" t="s">
        <v>9</v>
      </c>
      <c r="E51">
        <v>3260.69</v>
      </c>
      <c r="F51">
        <v>-629.30999999999995</v>
      </c>
      <c r="G51" s="1">
        <f t="shared" si="0"/>
        <v>-0.19299902781313155</v>
      </c>
      <c r="H51" t="str">
        <f t="shared" si="1"/>
        <v>Loss</v>
      </c>
    </row>
    <row r="52" spans="1:8" x14ac:dyDescent="0.35">
      <c r="A52" t="s">
        <v>108</v>
      </c>
      <c r="B52" t="s">
        <v>109</v>
      </c>
      <c r="C52" t="s">
        <v>8</v>
      </c>
      <c r="D52" t="s">
        <v>9</v>
      </c>
      <c r="E52">
        <v>1623.01</v>
      </c>
      <c r="F52">
        <v>-622.94000000000005</v>
      </c>
      <c r="G52" s="1">
        <f t="shared" si="0"/>
        <v>-0.38381772139419973</v>
      </c>
      <c r="H52" t="str">
        <f t="shared" si="1"/>
        <v>Loss</v>
      </c>
    </row>
    <row r="53" spans="1:8" x14ac:dyDescent="0.35">
      <c r="A53" t="s">
        <v>110</v>
      </c>
      <c r="B53" t="s">
        <v>111</v>
      </c>
      <c r="C53" t="s">
        <v>8</v>
      </c>
      <c r="D53" t="s">
        <v>9</v>
      </c>
      <c r="E53">
        <v>5356.5681999999997</v>
      </c>
      <c r="F53">
        <v>-609.07180000000005</v>
      </c>
      <c r="G53" s="1">
        <f t="shared" si="0"/>
        <v>-0.11370559979055249</v>
      </c>
      <c r="H53" t="str">
        <f t="shared" si="1"/>
        <v>Loss</v>
      </c>
    </row>
    <row r="54" spans="1:8" x14ac:dyDescent="0.35">
      <c r="A54" t="s">
        <v>112</v>
      </c>
      <c r="B54" t="s">
        <v>113</v>
      </c>
      <c r="C54" t="s">
        <v>8</v>
      </c>
      <c r="D54" t="s">
        <v>9</v>
      </c>
      <c r="E54">
        <v>4312.6440000000002</v>
      </c>
      <c r="F54">
        <v>-594.58780000000002</v>
      </c>
      <c r="G54" s="1">
        <f t="shared" si="0"/>
        <v>-0.13787082819727295</v>
      </c>
      <c r="H54" t="str">
        <f t="shared" si="1"/>
        <v>Loss</v>
      </c>
    </row>
    <row r="55" spans="1:8" x14ac:dyDescent="0.35">
      <c r="A55" t="s">
        <v>114</v>
      </c>
      <c r="B55" t="s">
        <v>115</v>
      </c>
      <c r="C55" t="s">
        <v>8</v>
      </c>
      <c r="D55" t="s">
        <v>9</v>
      </c>
      <c r="E55">
        <v>3977.9009999999998</v>
      </c>
      <c r="F55">
        <v>-580.52279999999996</v>
      </c>
      <c r="G55" s="1">
        <f t="shared" si="0"/>
        <v>-0.14593696524875807</v>
      </c>
      <c r="H55" t="str">
        <f t="shared" si="1"/>
        <v>Loss</v>
      </c>
    </row>
    <row r="56" spans="1:8" x14ac:dyDescent="0.35">
      <c r="A56" t="s">
        <v>116</v>
      </c>
      <c r="B56" t="s">
        <v>117</v>
      </c>
      <c r="C56" t="s">
        <v>8</v>
      </c>
      <c r="D56" t="s">
        <v>9</v>
      </c>
      <c r="E56">
        <v>1021.2619999999999</v>
      </c>
      <c r="F56">
        <v>-578.83960000000002</v>
      </c>
      <c r="G56" s="1">
        <f t="shared" si="0"/>
        <v>-0.56678854201957973</v>
      </c>
      <c r="H56" t="str">
        <f t="shared" si="1"/>
        <v>Loss</v>
      </c>
    </row>
    <row r="57" spans="1:8" x14ac:dyDescent="0.35">
      <c r="A57" t="s">
        <v>118</v>
      </c>
      <c r="B57" t="s">
        <v>119</v>
      </c>
      <c r="C57" t="s">
        <v>8</v>
      </c>
      <c r="D57" t="s">
        <v>9</v>
      </c>
      <c r="E57">
        <v>2159.2084</v>
      </c>
      <c r="F57">
        <v>-529.84159999999997</v>
      </c>
      <c r="G57" s="1">
        <f t="shared" si="0"/>
        <v>-0.24538696681617206</v>
      </c>
      <c r="H57" t="str">
        <f t="shared" si="1"/>
        <v>Loss</v>
      </c>
    </row>
    <row r="58" spans="1:8" x14ac:dyDescent="0.35">
      <c r="A58" t="s">
        <v>120</v>
      </c>
      <c r="B58" t="s">
        <v>121</v>
      </c>
      <c r="C58" t="s">
        <v>8</v>
      </c>
      <c r="D58" t="s">
        <v>9</v>
      </c>
      <c r="E58">
        <v>7266.768</v>
      </c>
      <c r="F58">
        <v>-508.76130000000001</v>
      </c>
      <c r="G58" s="1">
        <f t="shared" si="0"/>
        <v>-7.0012046621001245E-2</v>
      </c>
      <c r="H58" t="str">
        <f t="shared" si="1"/>
        <v>Loss</v>
      </c>
    </row>
    <row r="59" spans="1:8" x14ac:dyDescent="0.35">
      <c r="A59" t="s">
        <v>122</v>
      </c>
      <c r="B59" t="s">
        <v>123</v>
      </c>
      <c r="C59" t="s">
        <v>8</v>
      </c>
      <c r="D59" t="s">
        <v>9</v>
      </c>
      <c r="E59">
        <v>7049.8924999999999</v>
      </c>
      <c r="F59">
        <v>-502.47750000000002</v>
      </c>
      <c r="G59" s="1">
        <f t="shared" si="0"/>
        <v>-7.1274491064934678E-2</v>
      </c>
      <c r="H59" t="str">
        <f t="shared" si="1"/>
        <v>Loss</v>
      </c>
    </row>
    <row r="60" spans="1:8" x14ac:dyDescent="0.35">
      <c r="A60" t="s">
        <v>124</v>
      </c>
      <c r="B60" t="s">
        <v>125</v>
      </c>
      <c r="C60" t="s">
        <v>8</v>
      </c>
      <c r="D60" t="s">
        <v>9</v>
      </c>
      <c r="E60">
        <v>2689.4209999999998</v>
      </c>
      <c r="F60">
        <v>-496.94099999999997</v>
      </c>
      <c r="G60" s="1">
        <f t="shared" si="0"/>
        <v>-0.18477620275888379</v>
      </c>
      <c r="H60" t="str">
        <f t="shared" si="1"/>
        <v>Loss</v>
      </c>
    </row>
    <row r="61" spans="1:8" x14ac:dyDescent="0.35">
      <c r="A61" t="s">
        <v>126</v>
      </c>
      <c r="B61" t="s">
        <v>127</v>
      </c>
      <c r="C61" t="s">
        <v>8</v>
      </c>
      <c r="D61" t="s">
        <v>9</v>
      </c>
      <c r="E61">
        <v>675.96</v>
      </c>
      <c r="F61">
        <v>-476.46</v>
      </c>
      <c r="G61" s="1">
        <f t="shared" si="0"/>
        <v>-0.70486419314752347</v>
      </c>
      <c r="H61" t="str">
        <f t="shared" si="1"/>
        <v>Loss</v>
      </c>
    </row>
    <row r="62" spans="1:8" x14ac:dyDescent="0.35">
      <c r="A62" t="s">
        <v>128</v>
      </c>
      <c r="B62" t="s">
        <v>129</v>
      </c>
      <c r="C62" t="s">
        <v>8</v>
      </c>
      <c r="D62" t="s">
        <v>9</v>
      </c>
      <c r="E62">
        <v>1119.268</v>
      </c>
      <c r="F62">
        <v>-465.16199999999998</v>
      </c>
      <c r="G62" s="1">
        <f t="shared" si="0"/>
        <v>-0.4155948351958601</v>
      </c>
      <c r="H62" t="str">
        <f t="shared" si="1"/>
        <v>Loss</v>
      </c>
    </row>
    <row r="63" spans="1:8" x14ac:dyDescent="0.35">
      <c r="A63" t="s">
        <v>130</v>
      </c>
      <c r="B63" t="s">
        <v>131</v>
      </c>
      <c r="C63" t="s">
        <v>8</v>
      </c>
      <c r="D63" t="s">
        <v>9</v>
      </c>
      <c r="E63">
        <v>2165.8780000000002</v>
      </c>
      <c r="F63">
        <v>-449.21640000000002</v>
      </c>
      <c r="G63" s="1">
        <f t="shared" si="0"/>
        <v>-0.20740614198953033</v>
      </c>
      <c r="H63" t="str">
        <f t="shared" si="1"/>
        <v>Loss</v>
      </c>
    </row>
    <row r="64" spans="1:8" x14ac:dyDescent="0.35">
      <c r="A64" t="s">
        <v>132</v>
      </c>
      <c r="B64" t="s">
        <v>133</v>
      </c>
      <c r="C64" t="s">
        <v>8</v>
      </c>
      <c r="D64" t="s">
        <v>9</v>
      </c>
      <c r="E64">
        <v>2042.4960000000001</v>
      </c>
      <c r="F64">
        <v>-446.70319999999998</v>
      </c>
      <c r="G64" s="1">
        <f t="shared" si="0"/>
        <v>-0.2187045653944977</v>
      </c>
      <c r="H64" t="str">
        <f t="shared" si="1"/>
        <v>Loss</v>
      </c>
    </row>
    <row r="65" spans="1:8" x14ac:dyDescent="0.35">
      <c r="A65" t="s">
        <v>134</v>
      </c>
      <c r="B65" t="s">
        <v>135</v>
      </c>
      <c r="C65" t="s">
        <v>8</v>
      </c>
      <c r="D65" t="s">
        <v>9</v>
      </c>
      <c r="E65">
        <v>2559.4670000000001</v>
      </c>
      <c r="F65">
        <v>-428.58699999999999</v>
      </c>
      <c r="G65" s="1">
        <f t="shared" si="0"/>
        <v>-0.16745166083407209</v>
      </c>
      <c r="H65" t="str">
        <f t="shared" si="1"/>
        <v>Loss</v>
      </c>
    </row>
    <row r="66" spans="1:8" x14ac:dyDescent="0.35">
      <c r="A66" t="s">
        <v>136</v>
      </c>
      <c r="B66" t="s">
        <v>137</v>
      </c>
      <c r="C66" t="s">
        <v>8</v>
      </c>
      <c r="D66" t="s">
        <v>9</v>
      </c>
      <c r="E66">
        <v>4979.6729999999998</v>
      </c>
      <c r="F66">
        <v>-421.24299999999999</v>
      </c>
      <c r="G66" s="1">
        <f t="shared" si="0"/>
        <v>-8.4592502359090646E-2</v>
      </c>
      <c r="H66" t="str">
        <f t="shared" si="1"/>
        <v>Loss</v>
      </c>
    </row>
    <row r="67" spans="1:8" x14ac:dyDescent="0.35">
      <c r="A67" t="s">
        <v>138</v>
      </c>
      <c r="B67" t="s">
        <v>139</v>
      </c>
      <c r="C67" t="s">
        <v>8</v>
      </c>
      <c r="D67" t="s">
        <v>9</v>
      </c>
      <c r="E67">
        <v>3385.4960999999998</v>
      </c>
      <c r="F67">
        <v>-412.4239</v>
      </c>
      <c r="G67" s="1">
        <f t="shared" ref="G67:G130" si="2">(F67/E67)</f>
        <v>-0.12182081674824556</v>
      </c>
      <c r="H67" t="str">
        <f t="shared" ref="H67:H130" si="3">IF(G67&lt;0,"Loss","Profit")</f>
        <v>Loss</v>
      </c>
    </row>
    <row r="68" spans="1:8" x14ac:dyDescent="0.35">
      <c r="A68" t="s">
        <v>140</v>
      </c>
      <c r="B68" t="s">
        <v>141</v>
      </c>
      <c r="C68" t="s">
        <v>8</v>
      </c>
      <c r="D68" t="s">
        <v>9</v>
      </c>
      <c r="E68">
        <v>928.92</v>
      </c>
      <c r="F68">
        <v>-406.9325</v>
      </c>
      <c r="G68" s="1">
        <f t="shared" si="2"/>
        <v>-0.43807055505318004</v>
      </c>
      <c r="H68" t="str">
        <f t="shared" si="3"/>
        <v>Loss</v>
      </c>
    </row>
    <row r="69" spans="1:8" x14ac:dyDescent="0.35">
      <c r="A69" t="s">
        <v>142</v>
      </c>
      <c r="B69" t="s">
        <v>143</v>
      </c>
      <c r="C69" t="s">
        <v>8</v>
      </c>
      <c r="D69" t="s">
        <v>9</v>
      </c>
      <c r="E69">
        <v>1527.6479999999999</v>
      </c>
      <c r="F69">
        <v>-406.03199999999998</v>
      </c>
      <c r="G69" s="1">
        <f t="shared" si="2"/>
        <v>-0.26578897756551245</v>
      </c>
      <c r="H69" t="str">
        <f t="shared" si="3"/>
        <v>Loss</v>
      </c>
    </row>
    <row r="70" spans="1:8" x14ac:dyDescent="0.35">
      <c r="A70" t="s">
        <v>144</v>
      </c>
      <c r="B70" t="s">
        <v>145</v>
      </c>
      <c r="C70" t="s">
        <v>8</v>
      </c>
      <c r="D70" t="s">
        <v>9</v>
      </c>
      <c r="E70">
        <v>1150.5319999999999</v>
      </c>
      <c r="F70">
        <v>-395.51799999999997</v>
      </c>
      <c r="G70" s="1">
        <f t="shared" si="2"/>
        <v>-0.34376966481592863</v>
      </c>
      <c r="H70" t="str">
        <f t="shared" si="3"/>
        <v>Loss</v>
      </c>
    </row>
    <row r="71" spans="1:8" x14ac:dyDescent="0.35">
      <c r="A71" t="s">
        <v>146</v>
      </c>
      <c r="B71" t="s">
        <v>147</v>
      </c>
      <c r="C71" t="s">
        <v>8</v>
      </c>
      <c r="D71" t="s">
        <v>9</v>
      </c>
      <c r="E71">
        <v>2719.1336999999999</v>
      </c>
      <c r="F71">
        <v>-395.25630000000001</v>
      </c>
      <c r="G71" s="1">
        <f t="shared" si="2"/>
        <v>-0.14536111262200899</v>
      </c>
      <c r="H71" t="str">
        <f t="shared" si="3"/>
        <v>Loss</v>
      </c>
    </row>
    <row r="72" spans="1:8" x14ac:dyDescent="0.35">
      <c r="A72" t="s">
        <v>148</v>
      </c>
      <c r="B72" t="s">
        <v>149</v>
      </c>
      <c r="C72" t="s">
        <v>8</v>
      </c>
      <c r="D72" t="s">
        <v>9</v>
      </c>
      <c r="E72">
        <v>3148.55</v>
      </c>
      <c r="F72">
        <v>-392.99040000000002</v>
      </c>
      <c r="G72" s="1">
        <f t="shared" si="2"/>
        <v>-0.1248163122707278</v>
      </c>
      <c r="H72" t="str">
        <f t="shared" si="3"/>
        <v>Loss</v>
      </c>
    </row>
    <row r="73" spans="1:8" x14ac:dyDescent="0.35">
      <c r="A73" t="s">
        <v>150</v>
      </c>
      <c r="B73" t="s">
        <v>151</v>
      </c>
      <c r="C73" t="s">
        <v>8</v>
      </c>
      <c r="D73" t="s">
        <v>9</v>
      </c>
      <c r="E73">
        <v>830.26800000000003</v>
      </c>
      <c r="F73">
        <v>-391.572</v>
      </c>
      <c r="G73" s="1">
        <f t="shared" si="2"/>
        <v>-0.47162121146425007</v>
      </c>
      <c r="H73" t="str">
        <f t="shared" si="3"/>
        <v>Loss</v>
      </c>
    </row>
    <row r="74" spans="1:8" x14ac:dyDescent="0.35">
      <c r="A74" t="s">
        <v>152</v>
      </c>
      <c r="B74" t="s">
        <v>153</v>
      </c>
      <c r="C74" t="s">
        <v>8</v>
      </c>
      <c r="D74" t="s">
        <v>9</v>
      </c>
      <c r="E74">
        <v>5112.1760000000004</v>
      </c>
      <c r="F74">
        <v>-386.00639999999999</v>
      </c>
      <c r="G74" s="1">
        <f t="shared" si="2"/>
        <v>-7.5507259530970761E-2</v>
      </c>
      <c r="H74" t="str">
        <f t="shared" si="3"/>
        <v>Loss</v>
      </c>
    </row>
    <row r="75" spans="1:8" x14ac:dyDescent="0.35">
      <c r="A75" t="s">
        <v>154</v>
      </c>
      <c r="B75" t="s">
        <v>155</v>
      </c>
      <c r="C75" t="s">
        <v>8</v>
      </c>
      <c r="D75" t="s">
        <v>9</v>
      </c>
      <c r="E75">
        <v>3473.442</v>
      </c>
      <c r="F75">
        <v>-368.548</v>
      </c>
      <c r="G75" s="1">
        <f t="shared" si="2"/>
        <v>-0.10610454989603972</v>
      </c>
      <c r="H75" t="str">
        <f t="shared" si="3"/>
        <v>Loss</v>
      </c>
    </row>
    <row r="76" spans="1:8" x14ac:dyDescent="0.35">
      <c r="A76" t="s">
        <v>156</v>
      </c>
      <c r="B76" t="s">
        <v>157</v>
      </c>
      <c r="C76" t="s">
        <v>8</v>
      </c>
      <c r="D76" t="s">
        <v>9</v>
      </c>
      <c r="E76">
        <v>1054.625</v>
      </c>
      <c r="F76">
        <v>-343.97500000000002</v>
      </c>
      <c r="G76" s="1">
        <f t="shared" si="2"/>
        <v>-0.32615858717553636</v>
      </c>
      <c r="H76" t="str">
        <f t="shared" si="3"/>
        <v>Loss</v>
      </c>
    </row>
    <row r="77" spans="1:8" x14ac:dyDescent="0.35">
      <c r="A77" t="s">
        <v>158</v>
      </c>
      <c r="B77" t="s">
        <v>159</v>
      </c>
      <c r="C77" t="s">
        <v>8</v>
      </c>
      <c r="D77" t="s">
        <v>9</v>
      </c>
      <c r="E77">
        <v>2861.78</v>
      </c>
      <c r="F77">
        <v>-306.58999999999997</v>
      </c>
      <c r="G77" s="1">
        <f t="shared" si="2"/>
        <v>-0.10713262375165106</v>
      </c>
      <c r="H77" t="str">
        <f t="shared" si="3"/>
        <v>Loss</v>
      </c>
    </row>
    <row r="78" spans="1:8" x14ac:dyDescent="0.35">
      <c r="A78" t="s">
        <v>160</v>
      </c>
      <c r="B78" t="s">
        <v>161</v>
      </c>
      <c r="C78" t="s">
        <v>8</v>
      </c>
      <c r="D78" t="s">
        <v>9</v>
      </c>
      <c r="E78">
        <v>1377.5008</v>
      </c>
      <c r="F78">
        <v>-301.55919999999998</v>
      </c>
      <c r="G78" s="1">
        <f t="shared" si="2"/>
        <v>-0.21891762240718843</v>
      </c>
      <c r="H78" t="str">
        <f t="shared" si="3"/>
        <v>Loss</v>
      </c>
    </row>
    <row r="79" spans="1:8" x14ac:dyDescent="0.35">
      <c r="A79" t="s">
        <v>162</v>
      </c>
      <c r="B79" t="s">
        <v>163</v>
      </c>
      <c r="C79" t="s">
        <v>8</v>
      </c>
      <c r="D79" t="s">
        <v>9</v>
      </c>
      <c r="E79">
        <v>4165.6719999999996</v>
      </c>
      <c r="F79">
        <v>-297.64800000000002</v>
      </c>
      <c r="G79" s="1">
        <f t="shared" si="2"/>
        <v>-7.145257715921946E-2</v>
      </c>
      <c r="H79" t="str">
        <f t="shared" si="3"/>
        <v>Loss</v>
      </c>
    </row>
    <row r="80" spans="1:8" x14ac:dyDescent="0.35">
      <c r="A80" t="s">
        <v>164</v>
      </c>
      <c r="B80" t="s">
        <v>165</v>
      </c>
      <c r="C80" t="s">
        <v>8</v>
      </c>
      <c r="D80" t="s">
        <v>9</v>
      </c>
      <c r="E80">
        <v>6455.8040000000001</v>
      </c>
      <c r="F80">
        <v>-296.87599999999998</v>
      </c>
      <c r="G80" s="1">
        <f t="shared" si="2"/>
        <v>-4.5985906635331551E-2</v>
      </c>
      <c r="H80" t="str">
        <f t="shared" si="3"/>
        <v>Loss</v>
      </c>
    </row>
    <row r="81" spans="1:8" x14ac:dyDescent="0.35">
      <c r="A81" t="s">
        <v>166</v>
      </c>
      <c r="B81" t="s">
        <v>167</v>
      </c>
      <c r="C81" t="s">
        <v>8</v>
      </c>
      <c r="D81" t="s">
        <v>9</v>
      </c>
      <c r="E81">
        <v>3427.2</v>
      </c>
      <c r="F81">
        <v>-296.11</v>
      </c>
      <c r="G81" s="1">
        <f t="shared" si="2"/>
        <v>-8.6399976657329611E-2</v>
      </c>
      <c r="H81" t="str">
        <f t="shared" si="3"/>
        <v>Loss</v>
      </c>
    </row>
    <row r="82" spans="1:8" x14ac:dyDescent="0.35">
      <c r="A82" t="s">
        <v>168</v>
      </c>
      <c r="B82" t="s">
        <v>169</v>
      </c>
      <c r="C82" t="s">
        <v>8</v>
      </c>
      <c r="D82" t="s">
        <v>9</v>
      </c>
      <c r="E82">
        <v>4567.2993999999999</v>
      </c>
      <c r="F82">
        <v>-295.16059999999999</v>
      </c>
      <c r="G82" s="1">
        <f t="shared" si="2"/>
        <v>-6.4624753962921722E-2</v>
      </c>
      <c r="H82" t="str">
        <f t="shared" si="3"/>
        <v>Loss</v>
      </c>
    </row>
    <row r="83" spans="1:8" x14ac:dyDescent="0.35">
      <c r="A83" t="s">
        <v>170</v>
      </c>
      <c r="B83" t="s">
        <v>171</v>
      </c>
      <c r="C83" t="s">
        <v>8</v>
      </c>
      <c r="D83" t="s">
        <v>9</v>
      </c>
      <c r="E83">
        <v>13029.291499999999</v>
      </c>
      <c r="F83">
        <v>-292.23309999999998</v>
      </c>
      <c r="G83" s="1">
        <f t="shared" si="2"/>
        <v>-2.2428932532517213E-2</v>
      </c>
      <c r="H83" t="str">
        <f t="shared" si="3"/>
        <v>Loss</v>
      </c>
    </row>
    <row r="84" spans="1:8" x14ac:dyDescent="0.35">
      <c r="A84" t="s">
        <v>172</v>
      </c>
      <c r="B84" t="s">
        <v>173</v>
      </c>
      <c r="C84" t="s">
        <v>8</v>
      </c>
      <c r="D84" t="s">
        <v>9</v>
      </c>
      <c r="E84">
        <v>3490.5149999999999</v>
      </c>
      <c r="F84">
        <v>-283.815</v>
      </c>
      <c r="G84" s="1">
        <f t="shared" si="2"/>
        <v>-8.1310351051349164E-2</v>
      </c>
      <c r="H84" t="str">
        <f t="shared" si="3"/>
        <v>Loss</v>
      </c>
    </row>
    <row r="85" spans="1:8" x14ac:dyDescent="0.35">
      <c r="A85" t="s">
        <v>174</v>
      </c>
      <c r="B85" t="s">
        <v>175</v>
      </c>
      <c r="C85" t="s">
        <v>8</v>
      </c>
      <c r="D85" t="s">
        <v>9</v>
      </c>
      <c r="E85">
        <v>3876.7919999999999</v>
      </c>
      <c r="F85">
        <v>-234.13800000000001</v>
      </c>
      <c r="G85" s="1">
        <f t="shared" si="2"/>
        <v>-6.0394780013990949E-2</v>
      </c>
      <c r="H85" t="str">
        <f t="shared" si="3"/>
        <v>Loss</v>
      </c>
    </row>
    <row r="86" spans="1:8" x14ac:dyDescent="0.35">
      <c r="A86" t="s">
        <v>176</v>
      </c>
      <c r="B86" t="s">
        <v>177</v>
      </c>
      <c r="C86" t="s">
        <v>8</v>
      </c>
      <c r="D86" t="s">
        <v>9</v>
      </c>
      <c r="E86">
        <v>1453.3969999999999</v>
      </c>
      <c r="F86">
        <v>-228.32300000000001</v>
      </c>
      <c r="G86" s="1">
        <f t="shared" si="2"/>
        <v>-0.15709609968921087</v>
      </c>
      <c r="H86" t="str">
        <f t="shared" si="3"/>
        <v>Loss</v>
      </c>
    </row>
    <row r="87" spans="1:8" x14ac:dyDescent="0.35">
      <c r="A87" t="s">
        <v>178</v>
      </c>
      <c r="B87" t="s">
        <v>179</v>
      </c>
      <c r="C87" t="s">
        <v>8</v>
      </c>
      <c r="D87" t="s">
        <v>9</v>
      </c>
      <c r="E87">
        <v>5191.0050000000001</v>
      </c>
      <c r="F87">
        <v>-226.83500000000001</v>
      </c>
      <c r="G87" s="1">
        <f t="shared" si="2"/>
        <v>-4.369770400914659E-2</v>
      </c>
      <c r="H87" t="str">
        <f t="shared" si="3"/>
        <v>Loss</v>
      </c>
    </row>
    <row r="88" spans="1:8" x14ac:dyDescent="0.35">
      <c r="A88" t="s">
        <v>180</v>
      </c>
      <c r="B88" t="s">
        <v>181</v>
      </c>
      <c r="C88" t="s">
        <v>8</v>
      </c>
      <c r="D88" t="s">
        <v>9</v>
      </c>
      <c r="E88">
        <v>5983.09</v>
      </c>
      <c r="F88">
        <v>-222.6036</v>
      </c>
      <c r="G88" s="1">
        <f t="shared" si="2"/>
        <v>-3.7205457380717989E-2</v>
      </c>
      <c r="H88" t="str">
        <f t="shared" si="3"/>
        <v>Loss</v>
      </c>
    </row>
    <row r="89" spans="1:8" x14ac:dyDescent="0.35">
      <c r="A89" t="s">
        <v>182</v>
      </c>
      <c r="B89" t="s">
        <v>183</v>
      </c>
      <c r="C89" t="s">
        <v>8</v>
      </c>
      <c r="D89" t="s">
        <v>9</v>
      </c>
      <c r="E89">
        <v>840.09649999999999</v>
      </c>
      <c r="F89">
        <v>-204.25450000000001</v>
      </c>
      <c r="G89" s="1">
        <f t="shared" si="2"/>
        <v>-0.24313218779033124</v>
      </c>
      <c r="H89" t="str">
        <f t="shared" si="3"/>
        <v>Loss</v>
      </c>
    </row>
    <row r="90" spans="1:8" x14ac:dyDescent="0.35">
      <c r="A90" t="s">
        <v>184</v>
      </c>
      <c r="B90" t="s">
        <v>185</v>
      </c>
      <c r="C90" t="s">
        <v>8</v>
      </c>
      <c r="D90" t="s">
        <v>9</v>
      </c>
      <c r="E90">
        <v>1825.6775</v>
      </c>
      <c r="F90">
        <v>-202.21250000000001</v>
      </c>
      <c r="G90" s="1">
        <f t="shared" si="2"/>
        <v>-0.1107602520160324</v>
      </c>
      <c r="H90" t="str">
        <f t="shared" si="3"/>
        <v>Loss</v>
      </c>
    </row>
    <row r="91" spans="1:8" x14ac:dyDescent="0.35">
      <c r="A91" t="s">
        <v>186</v>
      </c>
      <c r="B91" t="s">
        <v>187</v>
      </c>
      <c r="C91" t="s">
        <v>8</v>
      </c>
      <c r="D91" t="s">
        <v>9</v>
      </c>
      <c r="E91">
        <v>4607.6409999999996</v>
      </c>
      <c r="F91">
        <v>-201.48220000000001</v>
      </c>
      <c r="G91" s="1">
        <f t="shared" si="2"/>
        <v>-4.3727842512035993E-2</v>
      </c>
      <c r="H91" t="str">
        <f t="shared" si="3"/>
        <v>Loss</v>
      </c>
    </row>
    <row r="92" spans="1:8" x14ac:dyDescent="0.35">
      <c r="A92" t="s">
        <v>188</v>
      </c>
      <c r="B92" t="s">
        <v>189</v>
      </c>
      <c r="C92" t="s">
        <v>8</v>
      </c>
      <c r="D92" t="s">
        <v>9</v>
      </c>
      <c r="E92">
        <v>2102.1680000000001</v>
      </c>
      <c r="F92">
        <v>-198.5342</v>
      </c>
      <c r="G92" s="1">
        <f t="shared" si="2"/>
        <v>-9.4442594502437471E-2</v>
      </c>
      <c r="H92" t="str">
        <f t="shared" si="3"/>
        <v>Loss</v>
      </c>
    </row>
    <row r="93" spans="1:8" x14ac:dyDescent="0.35">
      <c r="A93" t="s">
        <v>190</v>
      </c>
      <c r="B93" t="s">
        <v>191</v>
      </c>
      <c r="C93" t="s">
        <v>8</v>
      </c>
      <c r="D93" t="s">
        <v>9</v>
      </c>
      <c r="E93">
        <v>4554.9250000000002</v>
      </c>
      <c r="F93">
        <v>-176.18539999999999</v>
      </c>
      <c r="G93" s="1">
        <f t="shared" si="2"/>
        <v>-3.8680197807867307E-2</v>
      </c>
      <c r="H93" t="str">
        <f t="shared" si="3"/>
        <v>Loss</v>
      </c>
    </row>
    <row r="94" spans="1:8" x14ac:dyDescent="0.35">
      <c r="A94" t="s">
        <v>192</v>
      </c>
      <c r="B94" t="s">
        <v>193</v>
      </c>
      <c r="C94" t="s">
        <v>8</v>
      </c>
      <c r="D94" t="s">
        <v>9</v>
      </c>
      <c r="E94">
        <v>1306.028</v>
      </c>
      <c r="F94">
        <v>-169.35120000000001</v>
      </c>
      <c r="G94" s="1">
        <f t="shared" si="2"/>
        <v>-0.12966888918154895</v>
      </c>
      <c r="H94" t="str">
        <f t="shared" si="3"/>
        <v>Loss</v>
      </c>
    </row>
    <row r="95" spans="1:8" x14ac:dyDescent="0.35">
      <c r="A95" t="s">
        <v>194</v>
      </c>
      <c r="B95" t="s">
        <v>195</v>
      </c>
      <c r="C95" t="s">
        <v>8</v>
      </c>
      <c r="D95" t="s">
        <v>9</v>
      </c>
      <c r="E95">
        <v>2083.4088000000002</v>
      </c>
      <c r="F95">
        <v>-158.3312</v>
      </c>
      <c r="G95" s="1">
        <f t="shared" si="2"/>
        <v>-7.5996223112813954E-2</v>
      </c>
      <c r="H95" t="str">
        <f t="shared" si="3"/>
        <v>Loss</v>
      </c>
    </row>
    <row r="96" spans="1:8" x14ac:dyDescent="0.35">
      <c r="A96" t="s">
        <v>196</v>
      </c>
      <c r="B96" t="s">
        <v>197</v>
      </c>
      <c r="C96" t="s">
        <v>8</v>
      </c>
      <c r="D96" t="s">
        <v>9</v>
      </c>
      <c r="E96">
        <v>8238.0589999999993</v>
      </c>
      <c r="F96">
        <v>-151.9761</v>
      </c>
      <c r="G96" s="1">
        <f t="shared" si="2"/>
        <v>-1.844804704603354E-2</v>
      </c>
      <c r="H96" t="str">
        <f t="shared" si="3"/>
        <v>Loss</v>
      </c>
    </row>
    <row r="97" spans="1:8" x14ac:dyDescent="0.35">
      <c r="A97" t="s">
        <v>198</v>
      </c>
      <c r="B97" t="s">
        <v>199</v>
      </c>
      <c r="C97" t="s">
        <v>8</v>
      </c>
      <c r="D97" t="s">
        <v>9</v>
      </c>
      <c r="E97">
        <v>2692.2339999999999</v>
      </c>
      <c r="F97">
        <v>-151.066</v>
      </c>
      <c r="G97" s="1">
        <f t="shared" si="2"/>
        <v>-5.6111764430580705E-2</v>
      </c>
      <c r="H97" t="str">
        <f t="shared" si="3"/>
        <v>Loss</v>
      </c>
    </row>
    <row r="98" spans="1:8" x14ac:dyDescent="0.35">
      <c r="A98" t="s">
        <v>200</v>
      </c>
      <c r="B98" t="s">
        <v>201</v>
      </c>
      <c r="C98" t="s">
        <v>8</v>
      </c>
      <c r="D98" t="s">
        <v>9</v>
      </c>
      <c r="E98">
        <v>3270.22</v>
      </c>
      <c r="F98">
        <v>-149.72</v>
      </c>
      <c r="G98" s="1">
        <f t="shared" si="2"/>
        <v>-4.5782852529799224E-2</v>
      </c>
      <c r="H98" t="str">
        <f t="shared" si="3"/>
        <v>Loss</v>
      </c>
    </row>
    <row r="99" spans="1:8" x14ac:dyDescent="0.35">
      <c r="A99" t="s">
        <v>202</v>
      </c>
      <c r="B99" t="s">
        <v>203</v>
      </c>
      <c r="C99" t="s">
        <v>8</v>
      </c>
      <c r="D99" t="s">
        <v>9</v>
      </c>
      <c r="E99">
        <v>3737.0708</v>
      </c>
      <c r="F99">
        <v>-136.3092</v>
      </c>
      <c r="G99" s="1">
        <f t="shared" si="2"/>
        <v>-3.6474877596646013E-2</v>
      </c>
      <c r="H99" t="str">
        <f t="shared" si="3"/>
        <v>Loss</v>
      </c>
    </row>
    <row r="100" spans="1:8" x14ac:dyDescent="0.35">
      <c r="A100" t="s">
        <v>204</v>
      </c>
      <c r="B100" t="s">
        <v>205</v>
      </c>
      <c r="C100" t="s">
        <v>8</v>
      </c>
      <c r="D100" t="s">
        <v>9</v>
      </c>
      <c r="E100">
        <v>1448.232</v>
      </c>
      <c r="F100">
        <v>-127.6232</v>
      </c>
      <c r="G100" s="1">
        <f t="shared" si="2"/>
        <v>-8.8123449834004497E-2</v>
      </c>
      <c r="H100" t="str">
        <f t="shared" si="3"/>
        <v>Loss</v>
      </c>
    </row>
    <row r="101" spans="1:8" x14ac:dyDescent="0.35">
      <c r="A101" t="s">
        <v>206</v>
      </c>
      <c r="B101" t="s">
        <v>207</v>
      </c>
      <c r="C101" t="s">
        <v>8</v>
      </c>
      <c r="D101" t="s">
        <v>9</v>
      </c>
      <c r="E101">
        <v>679.12099999999998</v>
      </c>
      <c r="F101">
        <v>-116.39619999999999</v>
      </c>
      <c r="G101" s="1">
        <f t="shared" si="2"/>
        <v>-0.17139243227642792</v>
      </c>
      <c r="H101" t="str">
        <f t="shared" si="3"/>
        <v>Loss</v>
      </c>
    </row>
    <row r="102" spans="1:8" x14ac:dyDescent="0.35">
      <c r="A102" t="s">
        <v>208</v>
      </c>
      <c r="B102" t="s">
        <v>209</v>
      </c>
      <c r="C102" t="s">
        <v>8</v>
      </c>
      <c r="D102" t="s">
        <v>9</v>
      </c>
      <c r="E102">
        <v>2060.0540000000001</v>
      </c>
      <c r="F102">
        <v>-97.307400000000001</v>
      </c>
      <c r="G102" s="1">
        <f t="shared" si="2"/>
        <v>-4.723536373318369E-2</v>
      </c>
      <c r="H102" t="str">
        <f t="shared" si="3"/>
        <v>Loss</v>
      </c>
    </row>
    <row r="103" spans="1:8" x14ac:dyDescent="0.35">
      <c r="A103" t="s">
        <v>210</v>
      </c>
      <c r="B103" t="s">
        <v>211</v>
      </c>
      <c r="C103" t="s">
        <v>8</v>
      </c>
      <c r="D103" t="s">
        <v>9</v>
      </c>
      <c r="E103">
        <v>3690.2719999999999</v>
      </c>
      <c r="F103">
        <v>-92.067999999999998</v>
      </c>
      <c r="G103" s="1">
        <f t="shared" si="2"/>
        <v>-2.4948838459604061E-2</v>
      </c>
      <c r="H103" t="str">
        <f t="shared" si="3"/>
        <v>Loss</v>
      </c>
    </row>
    <row r="104" spans="1:8" x14ac:dyDescent="0.35">
      <c r="A104" t="s">
        <v>212</v>
      </c>
      <c r="B104" t="s">
        <v>213</v>
      </c>
      <c r="C104" t="s">
        <v>8</v>
      </c>
      <c r="D104" t="s">
        <v>9</v>
      </c>
      <c r="E104">
        <v>1103.6400000000001</v>
      </c>
      <c r="F104">
        <v>-88.831999999999994</v>
      </c>
      <c r="G104" s="1">
        <f t="shared" si="2"/>
        <v>-8.049001485991808E-2</v>
      </c>
      <c r="H104" t="str">
        <f t="shared" si="3"/>
        <v>Loss</v>
      </c>
    </row>
    <row r="105" spans="1:8" x14ac:dyDescent="0.35">
      <c r="A105" t="s">
        <v>214</v>
      </c>
      <c r="B105" t="s">
        <v>215</v>
      </c>
      <c r="C105" t="s">
        <v>8</v>
      </c>
      <c r="D105" t="s">
        <v>9</v>
      </c>
      <c r="E105">
        <v>42.143999999999998</v>
      </c>
      <c r="F105">
        <v>-85.736000000000004</v>
      </c>
      <c r="G105" s="1">
        <f t="shared" si="2"/>
        <v>-2.0343583902809419</v>
      </c>
      <c r="H105" t="str">
        <f t="shared" si="3"/>
        <v>Loss</v>
      </c>
    </row>
    <row r="106" spans="1:8" x14ac:dyDescent="0.35">
      <c r="A106" t="s">
        <v>216</v>
      </c>
      <c r="B106" t="s">
        <v>217</v>
      </c>
      <c r="C106" t="s">
        <v>8</v>
      </c>
      <c r="D106" t="s">
        <v>9</v>
      </c>
      <c r="E106">
        <v>644.52200000000005</v>
      </c>
      <c r="F106">
        <v>-84.718000000000004</v>
      </c>
      <c r="G106" s="1">
        <f t="shared" si="2"/>
        <v>-0.13144314701437654</v>
      </c>
      <c r="H106" t="str">
        <f t="shared" si="3"/>
        <v>Loss</v>
      </c>
    </row>
    <row r="107" spans="1:8" x14ac:dyDescent="0.35">
      <c r="A107" t="s">
        <v>218</v>
      </c>
      <c r="B107" t="s">
        <v>219</v>
      </c>
      <c r="C107" t="s">
        <v>8</v>
      </c>
      <c r="D107" t="s">
        <v>9</v>
      </c>
      <c r="E107">
        <v>1667.31</v>
      </c>
      <c r="F107">
        <v>-80.069999999999993</v>
      </c>
      <c r="G107" s="1">
        <f t="shared" si="2"/>
        <v>-4.8023462943303882E-2</v>
      </c>
      <c r="H107" t="str">
        <f t="shared" si="3"/>
        <v>Loss</v>
      </c>
    </row>
    <row r="108" spans="1:8" x14ac:dyDescent="0.35">
      <c r="A108" t="s">
        <v>220</v>
      </c>
      <c r="B108" t="s">
        <v>221</v>
      </c>
      <c r="C108" t="s">
        <v>8</v>
      </c>
      <c r="D108" t="s">
        <v>9</v>
      </c>
      <c r="E108">
        <v>614.86559999999997</v>
      </c>
      <c r="F108">
        <v>-66.454400000000007</v>
      </c>
      <c r="G108" s="1">
        <f t="shared" si="2"/>
        <v>-0.10807955429609334</v>
      </c>
      <c r="H108" t="str">
        <f t="shared" si="3"/>
        <v>Loss</v>
      </c>
    </row>
    <row r="109" spans="1:8" x14ac:dyDescent="0.35">
      <c r="A109" t="s">
        <v>222</v>
      </c>
      <c r="B109" t="s">
        <v>223</v>
      </c>
      <c r="C109" t="s">
        <v>8</v>
      </c>
      <c r="D109" t="s">
        <v>9</v>
      </c>
      <c r="E109">
        <v>5811.8159999999998</v>
      </c>
      <c r="F109">
        <v>-56.827199999999998</v>
      </c>
      <c r="G109" s="1">
        <f t="shared" si="2"/>
        <v>-9.7778732155319441E-3</v>
      </c>
      <c r="H109" t="str">
        <f t="shared" si="3"/>
        <v>Loss</v>
      </c>
    </row>
    <row r="110" spans="1:8" x14ac:dyDescent="0.35">
      <c r="A110" t="s">
        <v>224</v>
      </c>
      <c r="B110" t="s">
        <v>225</v>
      </c>
      <c r="C110" t="s">
        <v>8</v>
      </c>
      <c r="D110" t="s">
        <v>9</v>
      </c>
      <c r="E110">
        <v>1802.25</v>
      </c>
      <c r="F110">
        <v>-55.45</v>
      </c>
      <c r="G110" s="1">
        <f t="shared" si="2"/>
        <v>-3.0767096684699683E-2</v>
      </c>
      <c r="H110" t="str">
        <f t="shared" si="3"/>
        <v>Loss</v>
      </c>
    </row>
    <row r="111" spans="1:8" x14ac:dyDescent="0.35">
      <c r="A111" t="s">
        <v>226</v>
      </c>
      <c r="B111" t="s">
        <v>227</v>
      </c>
      <c r="C111" t="s">
        <v>8</v>
      </c>
      <c r="D111" t="s">
        <v>9</v>
      </c>
      <c r="E111">
        <v>527.94100000000003</v>
      </c>
      <c r="F111">
        <v>-32.443800000000003</v>
      </c>
      <c r="G111" s="1">
        <f t="shared" si="2"/>
        <v>-6.14534578674511E-2</v>
      </c>
      <c r="H111" t="str">
        <f t="shared" si="3"/>
        <v>Loss</v>
      </c>
    </row>
    <row r="112" spans="1:8" x14ac:dyDescent="0.35">
      <c r="A112" t="s">
        <v>228</v>
      </c>
      <c r="B112" t="s">
        <v>229</v>
      </c>
      <c r="C112" t="s">
        <v>8</v>
      </c>
      <c r="D112" t="s">
        <v>9</v>
      </c>
      <c r="E112">
        <v>3672.2809999999999</v>
      </c>
      <c r="F112">
        <v>-28.279</v>
      </c>
      <c r="G112" s="1">
        <f t="shared" si="2"/>
        <v>-7.7006634296231686E-3</v>
      </c>
      <c r="H112" t="str">
        <f t="shared" si="3"/>
        <v>Loss</v>
      </c>
    </row>
    <row r="113" spans="1:8" x14ac:dyDescent="0.35">
      <c r="A113" t="s">
        <v>230</v>
      </c>
      <c r="B113" t="s">
        <v>231</v>
      </c>
      <c r="C113" t="s">
        <v>8</v>
      </c>
      <c r="D113" t="s">
        <v>9</v>
      </c>
      <c r="E113">
        <v>56.781999999999996</v>
      </c>
      <c r="F113">
        <v>-12.5145</v>
      </c>
      <c r="G113" s="1">
        <f t="shared" si="2"/>
        <v>-0.2203955478848931</v>
      </c>
      <c r="H113" t="str">
        <f t="shared" si="3"/>
        <v>Loss</v>
      </c>
    </row>
    <row r="114" spans="1:8" x14ac:dyDescent="0.35">
      <c r="A114" t="s">
        <v>232</v>
      </c>
      <c r="B114" t="s">
        <v>233</v>
      </c>
      <c r="C114" t="s">
        <v>8</v>
      </c>
      <c r="D114" t="s">
        <v>9</v>
      </c>
      <c r="E114">
        <v>2080.3440000000001</v>
      </c>
      <c r="F114">
        <v>2.7839999999999998</v>
      </c>
      <c r="G114" s="1">
        <f t="shared" si="2"/>
        <v>1.3382402141184342E-3</v>
      </c>
      <c r="H114" t="str">
        <f t="shared" si="3"/>
        <v>Profit</v>
      </c>
    </row>
    <row r="115" spans="1:8" x14ac:dyDescent="0.35">
      <c r="A115" t="s">
        <v>234</v>
      </c>
      <c r="B115" t="s">
        <v>235</v>
      </c>
      <c r="C115" t="s">
        <v>8</v>
      </c>
      <c r="D115" t="s">
        <v>9</v>
      </c>
      <c r="E115">
        <v>2328.114</v>
      </c>
      <c r="F115">
        <v>12.867100000000001</v>
      </c>
      <c r="G115" s="1">
        <f t="shared" si="2"/>
        <v>5.5268341670553934E-3</v>
      </c>
      <c r="H115" t="str">
        <f t="shared" si="3"/>
        <v>Profit</v>
      </c>
    </row>
    <row r="116" spans="1:8" x14ac:dyDescent="0.35">
      <c r="A116" t="s">
        <v>236</v>
      </c>
      <c r="B116" t="s">
        <v>237</v>
      </c>
      <c r="C116" t="s">
        <v>8</v>
      </c>
      <c r="D116" t="s">
        <v>9</v>
      </c>
      <c r="E116">
        <v>137.464</v>
      </c>
      <c r="F116">
        <v>18.3522</v>
      </c>
      <c r="G116" s="1">
        <f t="shared" si="2"/>
        <v>0.13350549962171915</v>
      </c>
      <c r="H116" t="str">
        <f t="shared" si="3"/>
        <v>Profit</v>
      </c>
    </row>
    <row r="117" spans="1:8" x14ac:dyDescent="0.35">
      <c r="A117" t="s">
        <v>238</v>
      </c>
      <c r="B117" t="s">
        <v>239</v>
      </c>
      <c r="C117" t="s">
        <v>8</v>
      </c>
      <c r="D117" t="s">
        <v>9</v>
      </c>
      <c r="E117">
        <v>6829.18</v>
      </c>
      <c r="F117">
        <v>28.5</v>
      </c>
      <c r="G117" s="1">
        <f t="shared" si="2"/>
        <v>4.1732682401108183E-3</v>
      </c>
      <c r="H117" t="str">
        <f t="shared" si="3"/>
        <v>Profit</v>
      </c>
    </row>
    <row r="118" spans="1:8" x14ac:dyDescent="0.35">
      <c r="A118" t="s">
        <v>240</v>
      </c>
      <c r="B118" t="s">
        <v>241</v>
      </c>
      <c r="C118" t="s">
        <v>8</v>
      </c>
      <c r="D118" t="s">
        <v>9</v>
      </c>
      <c r="E118">
        <v>646.82000000000005</v>
      </c>
      <c r="F118">
        <v>50.070399999999999</v>
      </c>
      <c r="G118" s="1">
        <f t="shared" si="2"/>
        <v>7.74100986364058E-2</v>
      </c>
      <c r="H118" t="str">
        <f t="shared" si="3"/>
        <v>Profit</v>
      </c>
    </row>
    <row r="119" spans="1:8" x14ac:dyDescent="0.35">
      <c r="A119" t="s">
        <v>242</v>
      </c>
      <c r="B119" t="s">
        <v>243</v>
      </c>
      <c r="C119" t="s">
        <v>8</v>
      </c>
      <c r="D119" t="s">
        <v>9</v>
      </c>
      <c r="E119">
        <v>8685.5419999999995</v>
      </c>
      <c r="F119">
        <v>60.472000000000001</v>
      </c>
      <c r="G119" s="1">
        <f t="shared" si="2"/>
        <v>6.9623749444766951E-3</v>
      </c>
      <c r="H119" t="str">
        <f t="shared" si="3"/>
        <v>Profit</v>
      </c>
    </row>
    <row r="120" spans="1:8" x14ac:dyDescent="0.35">
      <c r="A120" t="s">
        <v>244</v>
      </c>
      <c r="B120" t="s">
        <v>245</v>
      </c>
      <c r="C120" t="s">
        <v>8</v>
      </c>
      <c r="D120" t="s">
        <v>9</v>
      </c>
      <c r="E120">
        <v>2997.0039999999999</v>
      </c>
      <c r="F120">
        <v>69.716399999999993</v>
      </c>
      <c r="G120" s="1">
        <f t="shared" si="2"/>
        <v>2.3262031014973619E-2</v>
      </c>
      <c r="H120" t="str">
        <f t="shared" si="3"/>
        <v>Profit</v>
      </c>
    </row>
    <row r="121" spans="1:8" x14ac:dyDescent="0.35">
      <c r="A121" t="s">
        <v>246</v>
      </c>
      <c r="B121" t="s">
        <v>247</v>
      </c>
      <c r="C121" t="s">
        <v>8</v>
      </c>
      <c r="D121" t="s">
        <v>9</v>
      </c>
      <c r="E121">
        <v>2938.2</v>
      </c>
      <c r="F121">
        <v>84.78</v>
      </c>
      <c r="G121" s="1">
        <f t="shared" si="2"/>
        <v>2.8854400653461305E-2</v>
      </c>
      <c r="H121" t="str">
        <f t="shared" si="3"/>
        <v>Profit</v>
      </c>
    </row>
    <row r="122" spans="1:8" x14ac:dyDescent="0.35">
      <c r="A122" t="s">
        <v>248</v>
      </c>
      <c r="B122" t="s">
        <v>249</v>
      </c>
      <c r="C122" t="s">
        <v>8</v>
      </c>
      <c r="D122" t="s">
        <v>9</v>
      </c>
      <c r="E122">
        <v>3284.0279999999998</v>
      </c>
      <c r="F122">
        <v>93.028000000000006</v>
      </c>
      <c r="G122" s="1">
        <f t="shared" si="2"/>
        <v>2.8327407683491131E-2</v>
      </c>
      <c r="H122" t="str">
        <f t="shared" si="3"/>
        <v>Profit</v>
      </c>
    </row>
    <row r="123" spans="1:8" x14ac:dyDescent="0.35">
      <c r="A123" t="s">
        <v>250</v>
      </c>
      <c r="B123" t="s">
        <v>251</v>
      </c>
      <c r="C123" t="s">
        <v>8</v>
      </c>
      <c r="D123" t="s">
        <v>9</v>
      </c>
      <c r="E123">
        <v>13852.1036</v>
      </c>
      <c r="F123">
        <v>95.023600000000002</v>
      </c>
      <c r="G123" s="1">
        <f t="shared" si="2"/>
        <v>6.8598678398564678E-3</v>
      </c>
      <c r="H123" t="str">
        <f t="shared" si="3"/>
        <v>Profit</v>
      </c>
    </row>
    <row r="124" spans="1:8" x14ac:dyDescent="0.35">
      <c r="A124" t="s">
        <v>252</v>
      </c>
      <c r="B124" t="s">
        <v>253</v>
      </c>
      <c r="C124" t="s">
        <v>8</v>
      </c>
      <c r="D124" t="s">
        <v>9</v>
      </c>
      <c r="E124">
        <v>4525.1099999999997</v>
      </c>
      <c r="F124">
        <v>101.2</v>
      </c>
      <c r="G124" s="1">
        <f t="shared" si="2"/>
        <v>2.2364097226365769E-2</v>
      </c>
      <c r="H124" t="str">
        <f t="shared" si="3"/>
        <v>Profit</v>
      </c>
    </row>
    <row r="125" spans="1:8" x14ac:dyDescent="0.35">
      <c r="A125" t="s">
        <v>254</v>
      </c>
      <c r="B125" t="s">
        <v>255</v>
      </c>
      <c r="C125" t="s">
        <v>8</v>
      </c>
      <c r="D125" t="s">
        <v>9</v>
      </c>
      <c r="E125">
        <v>1241.56</v>
      </c>
      <c r="F125">
        <v>107.2856</v>
      </c>
      <c r="G125" s="1">
        <f t="shared" si="2"/>
        <v>8.6411933374142214E-2</v>
      </c>
      <c r="H125" t="str">
        <f t="shared" si="3"/>
        <v>Profit</v>
      </c>
    </row>
    <row r="126" spans="1:8" x14ac:dyDescent="0.35">
      <c r="A126" t="s">
        <v>256</v>
      </c>
      <c r="B126" t="s">
        <v>257</v>
      </c>
      <c r="C126" t="s">
        <v>8</v>
      </c>
      <c r="D126" t="s">
        <v>9</v>
      </c>
      <c r="E126">
        <v>2310.538</v>
      </c>
      <c r="F126">
        <v>111.9746</v>
      </c>
      <c r="G126" s="1">
        <f t="shared" si="2"/>
        <v>4.8462565861284251E-2</v>
      </c>
      <c r="H126" t="str">
        <f t="shared" si="3"/>
        <v>Profit</v>
      </c>
    </row>
    <row r="127" spans="1:8" x14ac:dyDescent="0.35">
      <c r="A127" t="s">
        <v>258</v>
      </c>
      <c r="B127" t="s">
        <v>259</v>
      </c>
      <c r="C127" t="s">
        <v>8</v>
      </c>
      <c r="D127" t="s">
        <v>9</v>
      </c>
      <c r="E127">
        <v>833.96</v>
      </c>
      <c r="F127">
        <v>116.94</v>
      </c>
      <c r="G127" s="1">
        <f t="shared" si="2"/>
        <v>0.14022255264041439</v>
      </c>
      <c r="H127" t="str">
        <f t="shared" si="3"/>
        <v>Profit</v>
      </c>
    </row>
    <row r="128" spans="1:8" x14ac:dyDescent="0.35">
      <c r="A128" t="s">
        <v>260</v>
      </c>
      <c r="B128" t="s">
        <v>261</v>
      </c>
      <c r="C128" t="s">
        <v>8</v>
      </c>
      <c r="D128" t="s">
        <v>9</v>
      </c>
      <c r="E128">
        <v>3374.89</v>
      </c>
      <c r="F128">
        <v>121.211</v>
      </c>
      <c r="G128" s="1">
        <f t="shared" si="2"/>
        <v>3.5915540950964331E-2</v>
      </c>
      <c r="H128" t="str">
        <f t="shared" si="3"/>
        <v>Profit</v>
      </c>
    </row>
    <row r="129" spans="1:8" x14ac:dyDescent="0.35">
      <c r="A129" t="s">
        <v>262</v>
      </c>
      <c r="B129" t="s">
        <v>263</v>
      </c>
      <c r="C129" t="s">
        <v>8</v>
      </c>
      <c r="D129" t="s">
        <v>9</v>
      </c>
      <c r="E129">
        <v>2499.5889999999999</v>
      </c>
      <c r="F129">
        <v>145.739</v>
      </c>
      <c r="G129" s="1">
        <f t="shared" si="2"/>
        <v>5.8305185372475241E-2</v>
      </c>
      <c r="H129" t="str">
        <f t="shared" si="3"/>
        <v>Profit</v>
      </c>
    </row>
    <row r="130" spans="1:8" x14ac:dyDescent="0.35">
      <c r="A130" t="s">
        <v>264</v>
      </c>
      <c r="B130" t="s">
        <v>265</v>
      </c>
      <c r="C130" t="s">
        <v>8</v>
      </c>
      <c r="D130" t="s">
        <v>9</v>
      </c>
      <c r="E130">
        <v>5386.3489</v>
      </c>
      <c r="F130">
        <v>148.91890000000001</v>
      </c>
      <c r="G130" s="1">
        <f t="shared" si="2"/>
        <v>2.764746635703454E-2</v>
      </c>
      <c r="H130" t="str">
        <f t="shared" si="3"/>
        <v>Profit</v>
      </c>
    </row>
    <row r="131" spans="1:8" x14ac:dyDescent="0.35">
      <c r="A131" t="s">
        <v>266</v>
      </c>
      <c r="B131" t="s">
        <v>267</v>
      </c>
      <c r="C131" t="s">
        <v>8</v>
      </c>
      <c r="D131" t="s">
        <v>9</v>
      </c>
      <c r="E131">
        <v>6714.9840000000004</v>
      </c>
      <c r="F131">
        <v>153.714</v>
      </c>
      <c r="G131" s="1">
        <f t="shared" ref="G131:G171" si="4">(F131/E131)</f>
        <v>2.2891193783931577E-2</v>
      </c>
      <c r="H131" t="str">
        <f t="shared" ref="H131:H171" si="5">IF(G131&lt;0,"Loss","Profit")</f>
        <v>Profit</v>
      </c>
    </row>
    <row r="132" spans="1:8" x14ac:dyDescent="0.35">
      <c r="A132" t="s">
        <v>268</v>
      </c>
      <c r="B132" t="s">
        <v>269</v>
      </c>
      <c r="C132" t="s">
        <v>8</v>
      </c>
      <c r="D132" t="s">
        <v>9</v>
      </c>
      <c r="E132">
        <v>2814.1419999999998</v>
      </c>
      <c r="F132">
        <v>171.44200000000001</v>
      </c>
      <c r="G132" s="1">
        <f t="shared" si="4"/>
        <v>6.0921588178563843E-2</v>
      </c>
      <c r="H132" t="str">
        <f t="shared" si="5"/>
        <v>Profit</v>
      </c>
    </row>
    <row r="133" spans="1:8" x14ac:dyDescent="0.35">
      <c r="A133" t="s">
        <v>270</v>
      </c>
      <c r="B133" t="s">
        <v>271</v>
      </c>
      <c r="C133" t="s">
        <v>8</v>
      </c>
      <c r="D133" t="s">
        <v>9</v>
      </c>
      <c r="E133">
        <v>12801.941999999999</v>
      </c>
      <c r="F133">
        <v>176.08199999999999</v>
      </c>
      <c r="G133" s="1">
        <f t="shared" si="4"/>
        <v>1.3754319461844149E-2</v>
      </c>
      <c r="H133" t="str">
        <f t="shared" si="5"/>
        <v>Profit</v>
      </c>
    </row>
    <row r="134" spans="1:8" x14ac:dyDescent="0.35">
      <c r="A134" t="s">
        <v>272</v>
      </c>
      <c r="B134" t="s">
        <v>273</v>
      </c>
      <c r="C134" t="s">
        <v>8</v>
      </c>
      <c r="D134" t="s">
        <v>9</v>
      </c>
      <c r="E134">
        <v>10938.079</v>
      </c>
      <c r="F134">
        <v>189.029</v>
      </c>
      <c r="G134" s="1">
        <f t="shared" si="4"/>
        <v>1.7281736582813123E-2</v>
      </c>
      <c r="H134" t="str">
        <f t="shared" si="5"/>
        <v>Profit</v>
      </c>
    </row>
    <row r="135" spans="1:8" x14ac:dyDescent="0.35">
      <c r="A135" t="s">
        <v>274</v>
      </c>
      <c r="B135" t="s">
        <v>275</v>
      </c>
      <c r="C135" t="s">
        <v>8</v>
      </c>
      <c r="D135" t="s">
        <v>9</v>
      </c>
      <c r="E135">
        <v>4892.1949999999997</v>
      </c>
      <c r="F135">
        <v>205.61500000000001</v>
      </c>
      <c r="G135" s="1">
        <f t="shared" si="4"/>
        <v>4.2029191395682314E-2</v>
      </c>
      <c r="H135" t="str">
        <f t="shared" si="5"/>
        <v>Profit</v>
      </c>
    </row>
    <row r="136" spans="1:8" x14ac:dyDescent="0.35">
      <c r="A136" t="s">
        <v>276</v>
      </c>
      <c r="B136" t="s">
        <v>277</v>
      </c>
      <c r="C136" t="s">
        <v>8</v>
      </c>
      <c r="D136" t="s">
        <v>9</v>
      </c>
      <c r="E136">
        <v>3414.6</v>
      </c>
      <c r="F136">
        <v>220.47399999999999</v>
      </c>
      <c r="G136" s="1">
        <f t="shared" si="4"/>
        <v>6.4568031394599656E-2</v>
      </c>
      <c r="H136" t="str">
        <f t="shared" si="5"/>
        <v>Profit</v>
      </c>
    </row>
    <row r="137" spans="1:8" x14ac:dyDescent="0.35">
      <c r="A137" t="s">
        <v>278</v>
      </c>
      <c r="B137" t="s">
        <v>279</v>
      </c>
      <c r="C137" t="s">
        <v>8</v>
      </c>
      <c r="D137" t="s">
        <v>9</v>
      </c>
      <c r="E137">
        <v>6525.7655000000004</v>
      </c>
      <c r="F137">
        <v>221.2955</v>
      </c>
      <c r="G137" s="1">
        <f t="shared" si="4"/>
        <v>3.391104078134588E-2</v>
      </c>
      <c r="H137" t="str">
        <f t="shared" si="5"/>
        <v>Profit</v>
      </c>
    </row>
    <row r="138" spans="1:8" x14ac:dyDescent="0.35">
      <c r="A138" t="s">
        <v>280</v>
      </c>
      <c r="B138" t="s">
        <v>281</v>
      </c>
      <c r="C138" t="s">
        <v>8</v>
      </c>
      <c r="D138" t="s">
        <v>9</v>
      </c>
      <c r="E138">
        <v>4293.6000000000004</v>
      </c>
      <c r="F138">
        <v>268.48</v>
      </c>
      <c r="G138" s="1">
        <f t="shared" si="4"/>
        <v>6.2530277622507915E-2</v>
      </c>
      <c r="H138" t="str">
        <f t="shared" si="5"/>
        <v>Profit</v>
      </c>
    </row>
    <row r="139" spans="1:8" x14ac:dyDescent="0.35">
      <c r="A139" t="s">
        <v>282</v>
      </c>
      <c r="B139" t="s">
        <v>283</v>
      </c>
      <c r="C139" t="s">
        <v>8</v>
      </c>
      <c r="D139" t="s">
        <v>9</v>
      </c>
      <c r="E139">
        <v>1067.6400000000001</v>
      </c>
      <c r="F139">
        <v>300.68</v>
      </c>
      <c r="G139" s="1">
        <f t="shared" si="4"/>
        <v>0.28163051215765611</v>
      </c>
      <c r="H139" t="str">
        <f t="shared" si="5"/>
        <v>Profit</v>
      </c>
    </row>
    <row r="140" spans="1:8" x14ac:dyDescent="0.35">
      <c r="A140" t="s">
        <v>284</v>
      </c>
      <c r="B140" t="s">
        <v>285</v>
      </c>
      <c r="C140" t="s">
        <v>8</v>
      </c>
      <c r="D140" t="s">
        <v>9</v>
      </c>
      <c r="E140">
        <v>3617.288</v>
      </c>
      <c r="F140">
        <v>325.82299999999998</v>
      </c>
      <c r="G140" s="1">
        <f t="shared" si="4"/>
        <v>9.0073834320076249E-2</v>
      </c>
      <c r="H140" t="str">
        <f t="shared" si="5"/>
        <v>Profit</v>
      </c>
    </row>
    <row r="141" spans="1:8" x14ac:dyDescent="0.35">
      <c r="A141" t="s">
        <v>286</v>
      </c>
      <c r="B141" t="s">
        <v>287</v>
      </c>
      <c r="C141" t="s">
        <v>8</v>
      </c>
      <c r="D141" t="s">
        <v>9</v>
      </c>
      <c r="E141">
        <v>3938.6325000000002</v>
      </c>
      <c r="F141">
        <v>344.83249999999998</v>
      </c>
      <c r="G141" s="1">
        <f t="shared" si="4"/>
        <v>8.7551326507360097E-2</v>
      </c>
      <c r="H141" t="str">
        <f t="shared" si="5"/>
        <v>Profit</v>
      </c>
    </row>
    <row r="142" spans="1:8" x14ac:dyDescent="0.35">
      <c r="A142" t="s">
        <v>288</v>
      </c>
      <c r="B142" t="s">
        <v>289</v>
      </c>
      <c r="C142" t="s">
        <v>8</v>
      </c>
      <c r="D142" t="s">
        <v>9</v>
      </c>
      <c r="E142">
        <v>3137.9839999999999</v>
      </c>
      <c r="F142">
        <v>358.04399999999998</v>
      </c>
      <c r="G142" s="1">
        <f t="shared" si="4"/>
        <v>0.11410000815810406</v>
      </c>
      <c r="H142" t="str">
        <f t="shared" si="5"/>
        <v>Profit</v>
      </c>
    </row>
    <row r="143" spans="1:8" x14ac:dyDescent="0.35">
      <c r="A143" t="s">
        <v>290</v>
      </c>
      <c r="B143" t="s">
        <v>291</v>
      </c>
      <c r="C143" t="s">
        <v>8</v>
      </c>
      <c r="D143" t="s">
        <v>9</v>
      </c>
      <c r="E143">
        <v>6740.4596000000001</v>
      </c>
      <c r="F143">
        <v>360.93959999999998</v>
      </c>
      <c r="G143" s="1">
        <f t="shared" si="4"/>
        <v>5.3548217987984079E-2</v>
      </c>
      <c r="H143" t="str">
        <f t="shared" si="5"/>
        <v>Profit</v>
      </c>
    </row>
    <row r="144" spans="1:8" x14ac:dyDescent="0.35">
      <c r="A144" t="s">
        <v>292</v>
      </c>
      <c r="B144" t="s">
        <v>293</v>
      </c>
      <c r="C144" t="s">
        <v>8</v>
      </c>
      <c r="D144" t="s">
        <v>9</v>
      </c>
      <c r="E144">
        <v>3551.348</v>
      </c>
      <c r="F144">
        <v>365.03480000000002</v>
      </c>
      <c r="G144" s="1">
        <f t="shared" si="4"/>
        <v>0.10278767386355829</v>
      </c>
      <c r="H144" t="str">
        <f t="shared" si="5"/>
        <v>Profit</v>
      </c>
    </row>
    <row r="145" spans="1:8" x14ac:dyDescent="0.35">
      <c r="A145" t="s">
        <v>294</v>
      </c>
      <c r="B145" t="s">
        <v>295</v>
      </c>
      <c r="C145" t="s">
        <v>8</v>
      </c>
      <c r="D145" t="s">
        <v>9</v>
      </c>
      <c r="E145">
        <v>1128.5999999999999</v>
      </c>
      <c r="F145">
        <v>383.82</v>
      </c>
      <c r="G145" s="1">
        <f t="shared" si="4"/>
        <v>0.34008506113769271</v>
      </c>
      <c r="H145" t="str">
        <f t="shared" si="5"/>
        <v>Profit</v>
      </c>
    </row>
    <row r="146" spans="1:8" x14ac:dyDescent="0.35">
      <c r="A146" t="s">
        <v>296</v>
      </c>
      <c r="B146" t="s">
        <v>297</v>
      </c>
      <c r="C146" t="s">
        <v>8</v>
      </c>
      <c r="D146" t="s">
        <v>9</v>
      </c>
      <c r="E146">
        <v>2559.7600000000002</v>
      </c>
      <c r="F146">
        <v>387.61</v>
      </c>
      <c r="G146" s="1">
        <f t="shared" si="4"/>
        <v>0.15142435228302653</v>
      </c>
      <c r="H146" t="str">
        <f t="shared" si="5"/>
        <v>Profit</v>
      </c>
    </row>
    <row r="147" spans="1:8" x14ac:dyDescent="0.35">
      <c r="A147" t="s">
        <v>298</v>
      </c>
      <c r="B147" t="s">
        <v>299</v>
      </c>
      <c r="C147" t="s">
        <v>8</v>
      </c>
      <c r="D147" t="s">
        <v>9</v>
      </c>
      <c r="E147">
        <v>7413.3176000000003</v>
      </c>
      <c r="F147">
        <v>401.68759999999997</v>
      </c>
      <c r="G147" s="1">
        <f t="shared" si="4"/>
        <v>5.4184593413345729E-2</v>
      </c>
      <c r="H147" t="str">
        <f t="shared" si="5"/>
        <v>Profit</v>
      </c>
    </row>
    <row r="148" spans="1:8" x14ac:dyDescent="0.35">
      <c r="A148" t="s">
        <v>300</v>
      </c>
      <c r="B148" t="s">
        <v>301</v>
      </c>
      <c r="C148" t="s">
        <v>8</v>
      </c>
      <c r="D148" t="s">
        <v>9</v>
      </c>
      <c r="E148">
        <v>1416.2</v>
      </c>
      <c r="F148">
        <v>407.72</v>
      </c>
      <c r="G148" s="1">
        <f t="shared" si="4"/>
        <v>0.28789718966247707</v>
      </c>
      <c r="H148" t="str">
        <f t="shared" si="5"/>
        <v>Profit</v>
      </c>
    </row>
    <row r="149" spans="1:8" x14ac:dyDescent="0.35">
      <c r="A149" t="s">
        <v>302</v>
      </c>
      <c r="B149" t="s">
        <v>303</v>
      </c>
      <c r="C149" t="s">
        <v>8</v>
      </c>
      <c r="D149" t="s">
        <v>9</v>
      </c>
      <c r="E149">
        <v>4047.52</v>
      </c>
      <c r="F149">
        <v>446.04</v>
      </c>
      <c r="G149" s="1">
        <f t="shared" si="4"/>
        <v>0.11020081432580939</v>
      </c>
      <c r="H149" t="str">
        <f t="shared" si="5"/>
        <v>Profit</v>
      </c>
    </row>
    <row r="150" spans="1:8" x14ac:dyDescent="0.35">
      <c r="A150" t="s">
        <v>304</v>
      </c>
      <c r="B150" t="s">
        <v>305</v>
      </c>
      <c r="C150" t="s">
        <v>8</v>
      </c>
      <c r="D150" t="s">
        <v>9</v>
      </c>
      <c r="E150">
        <v>4352.8275000000003</v>
      </c>
      <c r="F150">
        <v>448.06950000000001</v>
      </c>
      <c r="G150" s="1">
        <f t="shared" si="4"/>
        <v>0.10293757333595231</v>
      </c>
      <c r="H150" t="str">
        <f t="shared" si="5"/>
        <v>Profit</v>
      </c>
    </row>
    <row r="151" spans="1:8" x14ac:dyDescent="0.35">
      <c r="A151" t="s">
        <v>306</v>
      </c>
      <c r="B151" t="s">
        <v>307</v>
      </c>
      <c r="C151" t="s">
        <v>8</v>
      </c>
      <c r="D151" t="s">
        <v>9</v>
      </c>
      <c r="E151">
        <v>4354.2520000000004</v>
      </c>
      <c r="F151">
        <v>473.16399999999999</v>
      </c>
      <c r="G151" s="1">
        <f t="shared" si="4"/>
        <v>0.10866711435167278</v>
      </c>
      <c r="H151" t="str">
        <f t="shared" si="5"/>
        <v>Profit</v>
      </c>
    </row>
    <row r="152" spans="1:8" x14ac:dyDescent="0.35">
      <c r="A152" t="s">
        <v>308</v>
      </c>
      <c r="B152" t="s">
        <v>309</v>
      </c>
      <c r="C152" t="s">
        <v>8</v>
      </c>
      <c r="D152" t="s">
        <v>9</v>
      </c>
      <c r="E152">
        <v>5051.1859999999997</v>
      </c>
      <c r="F152">
        <v>483.42599999999999</v>
      </c>
      <c r="G152" s="1">
        <f t="shared" si="4"/>
        <v>9.5705444226365857E-2</v>
      </c>
      <c r="H152" t="str">
        <f t="shared" si="5"/>
        <v>Profit</v>
      </c>
    </row>
    <row r="153" spans="1:8" x14ac:dyDescent="0.35">
      <c r="A153" t="s">
        <v>310</v>
      </c>
      <c r="B153" t="s">
        <v>311</v>
      </c>
      <c r="C153" t="s">
        <v>8</v>
      </c>
      <c r="D153" t="s">
        <v>9</v>
      </c>
      <c r="E153">
        <v>6792.5619999999999</v>
      </c>
      <c r="F153">
        <v>484.12700000000001</v>
      </c>
      <c r="G153" s="1">
        <f t="shared" si="4"/>
        <v>7.1273107260559423E-2</v>
      </c>
      <c r="H153" t="str">
        <f t="shared" si="5"/>
        <v>Profit</v>
      </c>
    </row>
    <row r="154" spans="1:8" x14ac:dyDescent="0.35">
      <c r="A154" t="s">
        <v>312</v>
      </c>
      <c r="B154" t="s">
        <v>313</v>
      </c>
      <c r="C154" t="s">
        <v>8</v>
      </c>
      <c r="D154" t="s">
        <v>9</v>
      </c>
      <c r="E154">
        <v>3791.6469999999999</v>
      </c>
      <c r="F154">
        <v>553.654</v>
      </c>
      <c r="G154" s="1">
        <f t="shared" si="4"/>
        <v>0.14601939473795952</v>
      </c>
      <c r="H154" t="str">
        <f t="shared" si="5"/>
        <v>Profit</v>
      </c>
    </row>
    <row r="155" spans="1:8" x14ac:dyDescent="0.35">
      <c r="A155" t="s">
        <v>314</v>
      </c>
      <c r="B155" t="s">
        <v>315</v>
      </c>
      <c r="C155" t="s">
        <v>8</v>
      </c>
      <c r="D155" t="s">
        <v>9</v>
      </c>
      <c r="E155">
        <v>2617.56</v>
      </c>
      <c r="F155">
        <v>554.84</v>
      </c>
      <c r="G155" s="1">
        <f t="shared" si="4"/>
        <v>0.21196839805009246</v>
      </c>
      <c r="H155" t="str">
        <f t="shared" si="5"/>
        <v>Profit</v>
      </c>
    </row>
    <row r="156" spans="1:8" x14ac:dyDescent="0.35">
      <c r="A156" t="s">
        <v>316</v>
      </c>
      <c r="B156" t="s">
        <v>317</v>
      </c>
      <c r="C156" t="s">
        <v>8</v>
      </c>
      <c r="D156" t="s">
        <v>9</v>
      </c>
      <c r="E156">
        <v>3404.1120000000001</v>
      </c>
      <c r="F156">
        <v>557.27200000000005</v>
      </c>
      <c r="G156" s="1">
        <f t="shared" si="4"/>
        <v>0.16370554200331836</v>
      </c>
      <c r="H156" t="str">
        <f t="shared" si="5"/>
        <v>Profit</v>
      </c>
    </row>
    <row r="157" spans="1:8" x14ac:dyDescent="0.35">
      <c r="A157" t="s">
        <v>318</v>
      </c>
      <c r="B157" t="s">
        <v>319</v>
      </c>
      <c r="C157" t="s">
        <v>8</v>
      </c>
      <c r="D157" t="s">
        <v>9</v>
      </c>
      <c r="E157">
        <v>10729.496999999999</v>
      </c>
      <c r="F157">
        <v>609.45699999999999</v>
      </c>
      <c r="G157" s="1">
        <f t="shared" si="4"/>
        <v>5.680201038315217E-2</v>
      </c>
      <c r="H157" t="str">
        <f t="shared" si="5"/>
        <v>Profit</v>
      </c>
    </row>
    <row r="158" spans="1:8" x14ac:dyDescent="0.35">
      <c r="A158" t="s">
        <v>320</v>
      </c>
      <c r="B158" t="s">
        <v>321</v>
      </c>
      <c r="C158" t="s">
        <v>8</v>
      </c>
      <c r="D158" t="s">
        <v>9</v>
      </c>
      <c r="E158">
        <v>3758.1149999999998</v>
      </c>
      <c r="F158">
        <v>625.04300000000001</v>
      </c>
      <c r="G158" s="1">
        <f t="shared" si="4"/>
        <v>0.16631822070373048</v>
      </c>
      <c r="H158" t="str">
        <f t="shared" si="5"/>
        <v>Profit</v>
      </c>
    </row>
    <row r="159" spans="1:8" x14ac:dyDescent="0.35">
      <c r="A159" t="s">
        <v>322</v>
      </c>
      <c r="B159" t="s">
        <v>323</v>
      </c>
      <c r="C159" t="s">
        <v>8</v>
      </c>
      <c r="D159" t="s">
        <v>9</v>
      </c>
      <c r="E159">
        <v>2612.37</v>
      </c>
      <c r="F159">
        <v>652.27</v>
      </c>
      <c r="G159" s="1">
        <f t="shared" si="4"/>
        <v>0.24968515179702722</v>
      </c>
      <c r="H159" t="str">
        <f t="shared" si="5"/>
        <v>Profit</v>
      </c>
    </row>
    <row r="160" spans="1:8" x14ac:dyDescent="0.35">
      <c r="A160" t="s">
        <v>324</v>
      </c>
      <c r="B160" t="s">
        <v>325</v>
      </c>
      <c r="C160" t="s">
        <v>8</v>
      </c>
      <c r="D160" t="s">
        <v>9</v>
      </c>
      <c r="E160">
        <v>2434.4839999999999</v>
      </c>
      <c r="F160">
        <v>692.18399999999997</v>
      </c>
      <c r="G160" s="1">
        <f t="shared" si="4"/>
        <v>0.28432472753979898</v>
      </c>
      <c r="H160" t="str">
        <f t="shared" si="5"/>
        <v>Profit</v>
      </c>
    </row>
    <row r="161" spans="1:8" x14ac:dyDescent="0.35">
      <c r="A161" t="s">
        <v>326</v>
      </c>
      <c r="B161" t="s">
        <v>327</v>
      </c>
      <c r="C161" t="s">
        <v>8</v>
      </c>
      <c r="D161" t="s">
        <v>9</v>
      </c>
      <c r="E161">
        <v>6156.4080000000004</v>
      </c>
      <c r="F161">
        <v>842.93799999999999</v>
      </c>
      <c r="G161" s="1">
        <f t="shared" si="4"/>
        <v>0.13692042502706123</v>
      </c>
      <c r="H161" t="str">
        <f t="shared" si="5"/>
        <v>Profit</v>
      </c>
    </row>
    <row r="162" spans="1:8" x14ac:dyDescent="0.35">
      <c r="A162" t="s">
        <v>328</v>
      </c>
      <c r="B162" t="s">
        <v>329</v>
      </c>
      <c r="C162" t="s">
        <v>8</v>
      </c>
      <c r="D162" t="s">
        <v>9</v>
      </c>
      <c r="E162">
        <v>11024.93</v>
      </c>
      <c r="F162">
        <v>876.63</v>
      </c>
      <c r="G162" s="1">
        <f t="shared" si="4"/>
        <v>7.9513430017242731E-2</v>
      </c>
      <c r="H162" t="str">
        <f t="shared" si="5"/>
        <v>Profit</v>
      </c>
    </row>
    <row r="163" spans="1:8" x14ac:dyDescent="0.35">
      <c r="A163" t="s">
        <v>330</v>
      </c>
      <c r="B163" t="s">
        <v>331</v>
      </c>
      <c r="C163" t="s">
        <v>8</v>
      </c>
      <c r="D163" t="s">
        <v>9</v>
      </c>
      <c r="E163">
        <v>4954.0420000000004</v>
      </c>
      <c r="F163">
        <v>886.202</v>
      </c>
      <c r="G163" s="1">
        <f t="shared" si="4"/>
        <v>0.17888463602044552</v>
      </c>
      <c r="H163" t="str">
        <f t="shared" si="5"/>
        <v>Profit</v>
      </c>
    </row>
    <row r="164" spans="1:8" x14ac:dyDescent="0.35">
      <c r="A164" t="s">
        <v>332</v>
      </c>
      <c r="B164" t="s">
        <v>333</v>
      </c>
      <c r="C164" t="s">
        <v>8</v>
      </c>
      <c r="D164" t="s">
        <v>9</v>
      </c>
      <c r="E164">
        <v>8050.0879999999997</v>
      </c>
      <c r="F164">
        <v>1005.408</v>
      </c>
      <c r="G164" s="1">
        <f t="shared" si="4"/>
        <v>0.12489403842541846</v>
      </c>
      <c r="H164" t="str">
        <f t="shared" si="5"/>
        <v>Profit</v>
      </c>
    </row>
    <row r="165" spans="1:8" x14ac:dyDescent="0.35">
      <c r="A165" t="s">
        <v>334</v>
      </c>
      <c r="B165" t="s">
        <v>335</v>
      </c>
      <c r="C165" t="s">
        <v>8</v>
      </c>
      <c r="D165" t="s">
        <v>9</v>
      </c>
      <c r="E165">
        <v>3696.32</v>
      </c>
      <c r="F165">
        <v>1047.92</v>
      </c>
      <c r="G165" s="1">
        <f t="shared" si="4"/>
        <v>0.2835035927625314</v>
      </c>
      <c r="H165" t="str">
        <f t="shared" si="5"/>
        <v>Profit</v>
      </c>
    </row>
    <row r="166" spans="1:8" x14ac:dyDescent="0.35">
      <c r="A166" t="s">
        <v>336</v>
      </c>
      <c r="B166" t="s">
        <v>337</v>
      </c>
      <c r="C166" t="s">
        <v>8</v>
      </c>
      <c r="D166" t="s">
        <v>9</v>
      </c>
      <c r="E166">
        <v>8134.7471999999998</v>
      </c>
      <c r="F166">
        <v>1316.4872</v>
      </c>
      <c r="G166" s="1">
        <f t="shared" si="4"/>
        <v>0.16183504755992908</v>
      </c>
      <c r="H166" t="str">
        <f t="shared" si="5"/>
        <v>Profit</v>
      </c>
    </row>
    <row r="167" spans="1:8" x14ac:dyDescent="0.35">
      <c r="A167" t="s">
        <v>338</v>
      </c>
      <c r="B167" t="s">
        <v>339</v>
      </c>
      <c r="C167" t="s">
        <v>8</v>
      </c>
      <c r="D167" t="s">
        <v>9</v>
      </c>
      <c r="E167">
        <v>5566.7915000000003</v>
      </c>
      <c r="F167">
        <v>1356.8515</v>
      </c>
      <c r="G167" s="1">
        <f t="shared" si="4"/>
        <v>0.24374031253011719</v>
      </c>
      <c r="H167" t="str">
        <f t="shared" si="5"/>
        <v>Profit</v>
      </c>
    </row>
    <row r="168" spans="1:8" x14ac:dyDescent="0.35">
      <c r="A168" t="s">
        <v>340</v>
      </c>
      <c r="B168" t="s">
        <v>341</v>
      </c>
      <c r="C168" t="s">
        <v>8</v>
      </c>
      <c r="D168" t="s">
        <v>9</v>
      </c>
      <c r="E168">
        <v>14947.504999999999</v>
      </c>
      <c r="F168">
        <v>1592.655</v>
      </c>
      <c r="G168" s="1">
        <f t="shared" si="4"/>
        <v>0.10654988909520352</v>
      </c>
      <c r="H168" t="str">
        <f t="shared" si="5"/>
        <v>Profit</v>
      </c>
    </row>
    <row r="169" spans="1:8" x14ac:dyDescent="0.35">
      <c r="A169" t="s">
        <v>342</v>
      </c>
      <c r="B169" t="s">
        <v>343</v>
      </c>
      <c r="C169" t="s">
        <v>8</v>
      </c>
      <c r="D169" t="s">
        <v>9</v>
      </c>
      <c r="E169">
        <v>8715.3035</v>
      </c>
      <c r="F169">
        <v>1769.9735000000001</v>
      </c>
      <c r="G169" s="1">
        <f t="shared" si="4"/>
        <v>0.20308799343591419</v>
      </c>
      <c r="H169" t="str">
        <f t="shared" si="5"/>
        <v>Profit</v>
      </c>
    </row>
    <row r="170" spans="1:8" x14ac:dyDescent="0.35">
      <c r="A170" t="s">
        <v>344</v>
      </c>
      <c r="B170" t="s">
        <v>345</v>
      </c>
      <c r="C170" t="s">
        <v>8</v>
      </c>
      <c r="D170" t="s">
        <v>9</v>
      </c>
      <c r="E170">
        <v>5737.6189999999997</v>
      </c>
      <c r="F170">
        <v>1923.789</v>
      </c>
      <c r="G170" s="1">
        <f t="shared" si="4"/>
        <v>0.33529396078756712</v>
      </c>
      <c r="H170" t="str">
        <f t="shared" si="5"/>
        <v>Profit</v>
      </c>
    </row>
    <row r="171" spans="1:8" x14ac:dyDescent="0.35">
      <c r="A171" t="s">
        <v>346</v>
      </c>
      <c r="B171" t="s">
        <v>347</v>
      </c>
      <c r="C171" t="s">
        <v>8</v>
      </c>
      <c r="D171" t="s">
        <v>9</v>
      </c>
      <c r="E171">
        <v>7603.9669999999996</v>
      </c>
      <c r="F171">
        <v>3030.107</v>
      </c>
      <c r="G171" s="1">
        <f t="shared" si="4"/>
        <v>0.39849028802991915</v>
      </c>
      <c r="H171" t="str">
        <f t="shared" si="5"/>
        <v>Profit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tables_product_profitability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V Teja</cp:lastModifiedBy>
  <dcterms:created xsi:type="dcterms:W3CDTF">2026-10-09T01:11:30Z</dcterms:created>
  <dcterms:modified xsi:type="dcterms:W3CDTF">2026-10-09T02:30:37Z</dcterms:modified>
</cp:coreProperties>
</file>